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算器 Calculator" sheetId="1" state="visible" r:id="rId1"/>
    <sheet name="东马航线参考" sheetId="2" state="visible" r:id="rId2"/>
    <sheet name="Margin参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0"/>
    </font>
    <font>
      <name val="Arial"/>
      <b val="1"/>
      <color rgb="002F5496"/>
      <sz val="13"/>
    </font>
    <font>
      <name val="Arial"/>
      <b val="1"/>
      <sz val="10"/>
    </font>
    <font>
      <name val="Arial"/>
      <sz val="10"/>
    </font>
    <font>
      <name val="Arial"/>
      <i val="1"/>
      <color rgb="00999999"/>
      <sz val="9"/>
    </font>
    <font>
      <name val="Arial"/>
      <b val="1"/>
      <color rgb="00FFFFFF"/>
      <sz val="11"/>
    </font>
    <font>
      <name val="Arial"/>
      <b val="1"/>
      <color rgb="002F5496"/>
      <sz val="10"/>
    </font>
    <font>
      <name val="Arial"/>
      <i val="1"/>
      <color rgb="00666666"/>
      <sz val="9"/>
    </font>
    <font>
      <name val="Arial"/>
      <b val="1"/>
      <sz val="12"/>
    </font>
    <font>
      <name val="Arial"/>
      <b val="1"/>
      <color rgb="002F5496"/>
      <sz val="14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4" fontId="10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4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5" fillId="0" borderId="0" pivotButton="0" quotePrefix="0" xfId="0"/>
    <xf numFmtId="4" fontId="4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35" customWidth="1" min="4" max="4"/>
  </cols>
  <sheetData>
    <row r="1">
      <c r="A1" s="1" t="inlineStr">
        <is>
          <t>🚢 East Malaysia 转运费用计算器</t>
        </is>
      </c>
    </row>
    <row r="2">
      <c r="A2" s="2" t="inlineStr">
        <is>
          <t>China → Port Klang → East Malaysia (Kuching / Kota Kinabalu / Bintulu / Miri / Sibu)</t>
        </is>
      </c>
    </row>
    <row r="4">
      <c r="A4" s="3" t="inlineStr">
        <is>
          <t>📥 输入区 INPUT</t>
        </is>
      </c>
    </row>
    <row r="5">
      <c r="A5" s="4" t="inlineStr">
        <is>
          <t>运输方式 Mode:</t>
        </is>
      </c>
      <c r="B5" s="5" t="inlineStr">
        <is>
          <t>Sea FCL</t>
        </is>
      </c>
      <c r="D5" s="6" t="inlineStr">
        <is>
          <t>Sea FCL / Sea LCL / Air</t>
        </is>
      </c>
    </row>
    <row r="6">
      <c r="A6" s="4" t="inlineStr">
        <is>
          <t>起运港 POL:</t>
        </is>
      </c>
      <c r="B6" s="5" t="inlineStr">
        <is>
          <t>Shanghai</t>
        </is>
      </c>
      <c r="D6" s="6" t="inlineStr">
        <is>
          <t>Shanghai / Ningbo / Shenzhen / Guangzhou</t>
        </is>
      </c>
    </row>
    <row r="7">
      <c r="A7" s="4" t="inlineStr">
        <is>
          <t>目的地 POD:</t>
        </is>
      </c>
      <c r="B7" s="5" t="inlineStr">
        <is>
          <t>Kuching</t>
        </is>
      </c>
      <c r="D7" s="6" t="inlineStr">
        <is>
          <t>Kuching / Kota Kinabalu / Bintulu / Miri / Sibu</t>
        </is>
      </c>
    </row>
    <row r="8">
      <c r="A8" s="4" t="inlineStr">
        <is>
          <t>柜型 Container:</t>
        </is>
      </c>
      <c r="B8" s="5" t="inlineStr">
        <is>
          <t>40HQ</t>
        </is>
      </c>
      <c r="D8" s="6" t="inlineStr">
        <is>
          <t>20GP / 40GP / 40HQ (FCL) 或 CBM (LCL)</t>
        </is>
      </c>
    </row>
    <row r="9">
      <c r="A9" s="4" t="inlineStr">
        <is>
          <t>货量 Volume:</t>
        </is>
      </c>
      <c r="B9" s="5" t="inlineStr">
        <is>
          <t>1</t>
        </is>
      </c>
      <c r="D9" s="6" t="inlineStr">
        <is>
          <t>FCL: 1柜 / LCL: CBM数 / Air: KG数</t>
        </is>
      </c>
    </row>
    <row r="10">
      <c r="A10" s="4" t="inlineStr">
        <is>
          <t>货值 Cargo Value (USD):</t>
        </is>
      </c>
      <c r="B10" s="5" t="inlineStr">
        <is>
          <t>10000</t>
        </is>
      </c>
      <c r="D10" s="6" t="inlineStr">
        <is>
          <t>用于计算保险费</t>
        </is>
      </c>
    </row>
    <row r="11">
      <c r="A11" s="4" t="inlineStr">
        <is>
          <t>Margin %:</t>
        </is>
      </c>
      <c r="B11" s="5" t="inlineStr">
        <is>
          <t>20</t>
        </is>
      </c>
      <c r="D11" s="6" t="inlineStr">
        <is>
          <t>你的利润率 10%-30%</t>
        </is>
      </c>
    </row>
    <row r="12">
      <c r="A12" s="4" t="inlineStr">
        <is>
          <t>是否含保险 Insurance:</t>
        </is>
      </c>
      <c r="B12" s="5" t="inlineStr">
        <is>
          <t>No</t>
        </is>
      </c>
      <c r="D12" s="6" t="inlineStr">
        <is>
          <t>Yes / No</t>
        </is>
      </c>
    </row>
    <row r="13">
      <c r="A13" s="4" t="inlineStr">
        <is>
          <t>是否含拖车 Trucking:</t>
        </is>
      </c>
      <c r="B13" s="5" t="inlineStr">
        <is>
          <t>No</t>
        </is>
      </c>
      <c r="D13" s="6" t="inlineStr">
        <is>
          <t>Yes / No (East MY delivery)</t>
        </is>
      </c>
    </row>
    <row r="15">
      <c r="A15" s="3" t="inlineStr">
        <is>
          <t>💰 费用拆解 COST BREAKDOWN</t>
        </is>
      </c>
    </row>
    <row r="16">
      <c r="A16" s="7" t="inlineStr">
        <is>
          <t>费用项目 Charge</t>
        </is>
      </c>
      <c r="B16" s="7" t="inlineStr">
        <is>
          <t>币种 Currency</t>
        </is>
      </c>
      <c r="C16" s="7" t="inlineStr">
        <is>
          <t>成本 Cost</t>
        </is>
      </c>
      <c r="D16" s="7" t="inlineStr">
        <is>
          <t>备注 Notes</t>
        </is>
      </c>
    </row>
    <row r="17">
      <c r="A17" s="8" t="inlineStr">
        <is>
          <t>── 第一段：中国 → 巴生港 ──</t>
        </is>
      </c>
    </row>
    <row r="18">
      <c r="A18" s="9" t="inlineStr">
        <is>
          <t>海运费 Ocean Freight</t>
        </is>
      </c>
      <c r="B18" s="10" t="inlineStr">
        <is>
          <t>USD</t>
        </is>
      </c>
      <c r="C18" s="11">
        <f>IF(B5="Sea FCL",VLOOKUP(B6,Rate_Ref_FCL,IF(B8="20GP",2,IF(B8="40GP",3,4)),FALSE),IF(B5="Sea LCL",VLOOKUP(B6,Rate_Ref_LCL,2,FALSE)*B9,VLOOKUP(B6,Rate_Ref_Air,2,FALSE)*B9))</f>
        <v/>
      </c>
      <c r="D18" s="12" t="inlineStr">
        <is>
          <t>从运价表自动查</t>
        </is>
      </c>
    </row>
    <row r="19">
      <c r="A19" s="9" t="inlineStr">
        <is>
          <t>THC 码头费</t>
        </is>
      </c>
      <c r="B19" s="10" t="inlineStr">
        <is>
          <t>USD</t>
        </is>
      </c>
      <c r="C19" s="11">
        <f>IF(B5="Air","-",IF(B5="Sea FCL",150,150))</f>
        <v/>
      </c>
      <c r="D19" s="12" t="inlineStr">
        <is>
          <t>Per shipment</t>
        </is>
      </c>
    </row>
    <row r="20">
      <c r="A20" s="9" t="inlineStr">
        <is>
          <t>DOC 文件费</t>
        </is>
      </c>
      <c r="B20" s="10" t="inlineStr">
        <is>
          <t>USD</t>
        </is>
      </c>
      <c r="C20" s="11" t="n">
        <v>50</v>
      </c>
      <c r="D20" s="12" t="inlineStr">
        <is>
          <t>Per shipment</t>
        </is>
      </c>
    </row>
    <row r="21">
      <c r="A21" s="9" t="inlineStr">
        <is>
          <t>BAF 燃油附加费</t>
        </is>
      </c>
      <c r="B21" s="10" t="inlineStr">
        <is>
          <t>USD</t>
        </is>
      </c>
      <c r="C21" s="11">
        <f>IF(B5="Air","Included",50)</f>
        <v/>
      </c>
      <c r="D21" s="12" t="inlineStr">
        <is>
          <t>估算值，按实际调整</t>
        </is>
      </c>
    </row>
    <row r="22">
      <c r="A22" s="9" t="inlineStr">
        <is>
          <t>ISPS 安保费</t>
        </is>
      </c>
      <c r="B22" s="10" t="inlineStr">
        <is>
          <t>USD</t>
        </is>
      </c>
      <c r="C22" s="11">
        <f>IF(B5="Air","-",15)</f>
        <v/>
      </c>
      <c r="D22" s="12" t="inlineStr">
        <is>
          <t>Per container</t>
        </is>
      </c>
    </row>
    <row r="23">
      <c r="A23" s="4" t="inlineStr">
        <is>
          <t>第一段小计 Subtotal 1</t>
        </is>
      </c>
      <c r="B23" s="10" t="inlineStr">
        <is>
          <t>USD</t>
        </is>
      </c>
      <c r="C23" s="11">
        <f>IF(C18="-",0,C18)+IF(C19="-",0,C19)+C20+IF(C21="-",0,C21)+IF(C22="-",0,C22)</f>
        <v/>
      </c>
      <c r="D23" s="12" t="inlineStr"/>
    </row>
    <row r="25">
      <c r="A25" s="8" t="inlineStr">
        <is>
          <t>── 第二段：巴生港 → 东马 ──</t>
        </is>
      </c>
    </row>
    <row r="26">
      <c r="A26" s="9" t="inlineStr">
        <is>
          <t>本地运费 Local Freight (PKL→POD)</t>
        </is>
      </c>
      <c r="B26" s="10" t="inlineStr">
        <is>
          <t>MYR</t>
        </is>
      </c>
      <c r="C26" s="11">
        <f>IF(B7="Kuching",2800,IF(B7="Kota Kinabalu",3200,IF(B7="Bintulu",3500,IF(B7="Miri",3800,3000))))</f>
        <v/>
      </c>
      <c r="D26" s="12" t="inlineStr">
        <is>
          <t>参考价格，按实际调整</t>
        </is>
      </c>
    </row>
    <row r="27">
      <c r="A27" s="9" t="inlineStr">
        <is>
          <t>报关费 Customs (PKL)</t>
        </is>
      </c>
      <c r="B27" s="10" t="inlineStr">
        <is>
          <t>MYR</t>
        </is>
      </c>
      <c r="C27" s="11" t="n">
        <v>200</v>
      </c>
      <c r="D27" s="12" t="inlineStr">
        <is>
          <t>Per shipment</t>
        </is>
      </c>
    </row>
    <row r="28">
      <c r="A28" s="9" t="inlineStr">
        <is>
          <t>报关费 Customs (East MY)</t>
        </is>
      </c>
      <c r="B28" s="10" t="inlineStr">
        <is>
          <t>MYR</t>
        </is>
      </c>
      <c r="C28" s="11" t="n">
        <v>250</v>
      </c>
      <c r="D28" s="12" t="inlineStr">
        <is>
          <t>Per shipment</t>
        </is>
      </c>
    </row>
    <row r="29">
      <c r="A29" s="9" t="inlineStr">
        <is>
          <t>港口费 Port Charges (East MY)</t>
        </is>
      </c>
      <c r="B29" s="10" t="inlineStr">
        <is>
          <t>MYR</t>
        </is>
      </c>
      <c r="C29" s="11" t="n">
        <v>150</v>
      </c>
      <c r="D29" s="12" t="inlineStr">
        <is>
          <t>Estimated</t>
        </is>
      </c>
    </row>
    <row r="30">
      <c r="A30" s="4" t="inlineStr">
        <is>
          <t>第二段小计 Subtotal 2</t>
        </is>
      </c>
      <c r="B30" s="10" t="inlineStr">
        <is>
          <t>MYR</t>
        </is>
      </c>
      <c r="C30" s="11">
        <f>C26+C27+C28+C29</f>
        <v/>
      </c>
      <c r="D30" s="12" t="inlineStr"/>
    </row>
    <row r="32">
      <c r="A32" s="8" t="inlineStr">
        <is>
          <t>── 可选费用 Optional ──</t>
        </is>
      </c>
    </row>
    <row r="33">
      <c r="A33" s="9" t="inlineStr">
        <is>
          <t>保险 Insurance</t>
        </is>
      </c>
      <c r="B33" s="10" t="inlineStr">
        <is>
          <t>USD</t>
        </is>
      </c>
      <c r="C33" s="11">
        <f>IF(B12="Yes",B11*0.003,"-")</f>
        <v/>
      </c>
      <c r="D33" s="12" t="inlineStr">
        <is>
          <t>0.3% of cargo value</t>
        </is>
      </c>
    </row>
    <row r="34">
      <c r="A34" s="9" t="inlineStr">
        <is>
          <t>拖车费 Trucking (East MY delivery)</t>
        </is>
      </c>
      <c r="B34" s="10" t="inlineStr">
        <is>
          <t>MYR</t>
        </is>
      </c>
      <c r="C34" s="11">
        <f>IF(B13="Yes",IF(B7="Kuching",600,IF(B7="Kota Kinabalu",800,500)),"-")</f>
        <v/>
      </c>
      <c r="D34" s="12" t="inlineStr">
        <is>
          <t>市区内参考价</t>
        </is>
      </c>
    </row>
    <row r="36">
      <c r="A36" s="3" t="inlineStr">
        <is>
          <t>📊 报价汇总 QUOTE SUMMARY</t>
        </is>
      </c>
    </row>
    <row r="37">
      <c r="A37" s="4" t="inlineStr">
        <is>
          <t>总成本 Total Cost (USD)</t>
        </is>
      </c>
      <c r="B37" s="13" t="inlineStr">
        <is>
          <t>USD</t>
        </is>
      </c>
      <c r="C37" s="14">
        <f>C23+C30/4.5+IF(C33="-",0,C33)+IF(C34="-",0,C34/4.5)</f>
        <v/>
      </c>
      <c r="D37" s="12" t="inlineStr">
        <is>
          <t>MYR÷4.5 粗略换算，按实际汇率调整</t>
        </is>
      </c>
    </row>
    <row r="38">
      <c r="A38" s="4" t="inlineStr">
        <is>
          <t>Margin 金额</t>
        </is>
      </c>
      <c r="B38" s="13" t="inlineStr">
        <is>
          <t>USD</t>
        </is>
      </c>
      <c r="C38" s="14">
        <f>C37*B11/100</f>
        <v/>
      </c>
      <c r="D38" s="12" t="inlineStr"/>
    </row>
    <row r="39">
      <c r="A39" s="15" t="inlineStr">
        <is>
          <t>报价 Selling Price (USD)</t>
        </is>
      </c>
      <c r="B39" s="13" t="inlineStr">
        <is>
          <t>USD</t>
        </is>
      </c>
      <c r="C39" s="16">
        <f>C37+C38</f>
        <v/>
      </c>
      <c r="D39" s="12" t="inlineStr">
        <is>
          <t>发给客户的价格</t>
        </is>
      </c>
    </row>
    <row r="40">
      <c r="A40" s="4" t="inlineStr">
        <is>
          <t>汇率参考 Rate</t>
        </is>
      </c>
      <c r="B40" s="13" t="inlineStr">
        <is>
          <t>MYR/USD</t>
        </is>
      </c>
      <c r="C40" s="14" t="n">
        <v>4.5</v>
      </c>
      <c r="D40" s="12" t="inlineStr">
        <is>
          <t>更新为当前汇率</t>
        </is>
      </c>
    </row>
  </sheetData>
  <mergeCells count="2">
    <mergeCell ref="A2:G2"/>
    <mergeCell ref="A1:G1"/>
  </mergeCells>
  <dataValidations count="5">
    <dataValidation sqref="B5" showDropDown="0" showInputMessage="0" showErrorMessage="0" allowBlank="1" type="list">
      <formula1>"Sea FCL,Sea LCL,Air"</formula1>
    </dataValidation>
    <dataValidation sqref="B6" showDropDown="0" showInputMessage="0" showErrorMessage="0" allowBlank="1" type="list">
      <formula1>"Shanghai,Ningbo,Shenzhen,Guangzhou,Xiamen,Qingdao"</formula1>
    </dataValidation>
    <dataValidation sqref="B7" showDropDown="0" showInputMessage="0" showErrorMessage="0" allowBlank="1" type="list">
      <formula1>"Kuching,Kota Kinabalu,Bintulu,Miri,Sibu"</formula1>
    </dataValidation>
    <dataValidation sqref="B8" showDropDown="0" showInputMessage="0" showErrorMessage="0" allowBlank="1" type="list">
      <formula1>"20GP,40GP,40HQ,LCL"</formula1>
    </dataValidation>
    <dataValidation sqref="B12 B1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5" customWidth="1" min="3" max="3"/>
    <col width="14" customWidth="1" min="4" max="4"/>
    <col width="22" customWidth="1" min="5" max="5"/>
    <col width="30" customWidth="1" min="6" max="6"/>
  </cols>
  <sheetData>
    <row r="1">
      <c r="A1" s="17" t="inlineStr">
        <is>
          <t>🚢 东马转运参考信息 East Malaysia Transshipment Reference</t>
        </is>
      </c>
    </row>
    <row r="3">
      <c r="A3" s="7" t="inlineStr">
        <is>
          <t>目的地
Destination</t>
        </is>
      </c>
      <c r="B3" s="7" t="inlineStr">
        <is>
          <t>港口代码
Port Code</t>
        </is>
      </c>
      <c r="C3" s="7" t="inlineStr">
        <is>
          <t>转运方式
Via</t>
        </is>
      </c>
      <c r="D3" s="7" t="inlineStr">
        <is>
          <t>额外航程
Extra Days</t>
        </is>
      </c>
      <c r="E3" s="7" t="inlineStr">
        <is>
          <t>本地运费参考
Local Freight (MYR)</t>
        </is>
      </c>
      <c r="F3" s="7" t="inlineStr">
        <is>
          <t>备注
Notes</t>
        </is>
      </c>
    </row>
    <row r="4">
      <c r="A4" s="10" t="inlineStr">
        <is>
          <t>Kuching 古晋</t>
        </is>
      </c>
      <c r="B4" s="10" t="inlineStr">
        <is>
          <t>MYKCH</t>
        </is>
      </c>
      <c r="C4" s="18" t="inlineStr">
        <is>
          <t>PKL → Kuching (feeder)</t>
        </is>
      </c>
      <c r="D4" s="18" t="inlineStr">
        <is>
          <t>3-5 days</t>
        </is>
      </c>
      <c r="E4" s="18" t="inlineStr">
        <is>
          <t>2,500 - 3,500</t>
        </is>
      </c>
      <c r="F4" s="18" t="inlineStr">
        <is>
          <t>东马最大城市，班次较多</t>
        </is>
      </c>
    </row>
    <row r="5">
      <c r="A5" s="10" t="inlineStr">
        <is>
          <t>Kota Kinabalu 亚庇</t>
        </is>
      </c>
      <c r="B5" s="10" t="inlineStr">
        <is>
          <t>MYBKI</t>
        </is>
      </c>
      <c r="C5" s="18" t="inlineStr">
        <is>
          <t>PKL → KK (feeder)</t>
        </is>
      </c>
      <c r="D5" s="18" t="inlineStr">
        <is>
          <t>4-6 days</t>
        </is>
      </c>
      <c r="E5" s="18" t="inlineStr">
        <is>
          <t>2,800 - 4,000</t>
        </is>
      </c>
      <c r="F5" s="18" t="inlineStr">
        <is>
          <t>沙巴州首府</t>
        </is>
      </c>
    </row>
    <row r="6">
      <c r="A6" s="10" t="inlineStr">
        <is>
          <t>Bintulu 民都鲁</t>
        </is>
      </c>
      <c r="B6" s="10" t="inlineStr">
        <is>
          <t>MYBTU</t>
        </is>
      </c>
      <c r="C6" s="18" t="inlineStr">
        <is>
          <t>PKL → Bintulu (feeder)</t>
        </is>
      </c>
      <c r="D6" s="18" t="inlineStr">
        <is>
          <t>4-6 days</t>
        </is>
      </c>
      <c r="E6" s="18" t="inlineStr">
        <is>
          <t>3,200 - 4,200</t>
        </is>
      </c>
      <c r="F6" s="18" t="inlineStr">
        <is>
          <t>LNG 工业区</t>
        </is>
      </c>
    </row>
    <row r="7">
      <c r="A7" s="10" t="inlineStr">
        <is>
          <t>Miri 美里</t>
        </is>
      </c>
      <c r="B7" s="10" t="inlineStr">
        <is>
          <t>MYMYY</t>
        </is>
      </c>
      <c r="C7" s="18" t="inlineStr">
        <is>
          <t>PKL → Miri (feeder)</t>
        </is>
      </c>
      <c r="D7" s="18" t="inlineStr">
        <is>
          <t>5-7 days</t>
        </is>
      </c>
      <c r="E7" s="18" t="inlineStr">
        <is>
          <t>3,500 - 4,500</t>
        </is>
      </c>
      <c r="F7" s="18" t="inlineStr">
        <is>
          <t>石油城市</t>
        </is>
      </c>
    </row>
    <row r="8">
      <c r="A8" s="10" t="inlineStr">
        <is>
          <t>Sibu 诗巫</t>
        </is>
      </c>
      <c r="B8" s="10" t="inlineStr">
        <is>
          <t>MYSBW</t>
        </is>
      </c>
      <c r="C8" s="18" t="inlineStr">
        <is>
          <t>PKL → Sibu (feeder)</t>
        </is>
      </c>
      <c r="D8" s="18" t="inlineStr">
        <is>
          <t>4-6 days</t>
        </is>
      </c>
      <c r="E8" s="18" t="inlineStr">
        <is>
          <t>2,800 - 3,800</t>
        </is>
      </c>
      <c r="F8" s="18" t="inlineStr">
        <is>
          <t>木材/农业区</t>
        </is>
      </c>
    </row>
    <row r="10">
      <c r="A10" s="19" t="inlineStr">
        <is>
          <t>📝 重要提醒 Important Notes</t>
        </is>
      </c>
    </row>
    <row r="11">
      <c r="A11" s="20" t="inlineStr">
        <is>
          <t>1. 东马转运必须经 Port Klang 中转，没有直航</t>
        </is>
      </c>
    </row>
    <row r="12">
      <c r="A12" s="20" t="inlineStr">
        <is>
          <t>2. 转运时间受 feeder 船期影响，可能有延误</t>
        </is>
      </c>
    </row>
    <row r="13">
      <c r="A13" s="20" t="inlineStr">
        <is>
          <t>3. 东马属于不同关税区，需要额外报关</t>
        </is>
      </c>
    </row>
    <row r="14">
      <c r="A14" s="20" t="inlineStr">
        <is>
          <t>4. East MY 有 Borneo 特殊政策，某些货物有税收优惠</t>
        </is>
      </c>
    </row>
    <row r="15">
      <c r="A15" s="20" t="inlineStr">
        <is>
          <t>5. 本地运费以整柜为单位，拼柜按 CBM 比例分摊</t>
        </is>
      </c>
    </row>
    <row r="16">
      <c r="A16" s="20" t="inlineStr">
        <is>
          <t>6. 以上价格为参考值，实际价格请跟当地代理确认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7" t="inlineStr">
        <is>
          <t>💰 Margin 快速参考 Quick Reference</t>
        </is>
      </c>
    </row>
    <row r="3">
      <c r="A3" s="7" t="inlineStr">
        <is>
          <t>成本
Cost</t>
        </is>
      </c>
      <c r="B3" s="7" t="inlineStr">
        <is>
          <t>10% Margin</t>
        </is>
      </c>
      <c r="C3" s="7" t="inlineStr">
        <is>
          <t>15% Margin</t>
        </is>
      </c>
      <c r="D3" s="7" t="inlineStr">
        <is>
          <t>20% Margin</t>
        </is>
      </c>
      <c r="E3" s="7" t="inlineStr">
        <is>
          <t>25% Margin</t>
        </is>
      </c>
      <c r="F3" s="7" t="inlineStr">
        <is>
          <t>30% Margin</t>
        </is>
      </c>
    </row>
    <row r="4">
      <c r="A4" s="21" t="n">
        <v>100</v>
      </c>
      <c r="B4" s="11" t="n">
        <v>111.11</v>
      </c>
      <c r="C4" s="11" t="n">
        <v>117.65</v>
      </c>
      <c r="D4" s="11" t="n">
        <v>125</v>
      </c>
      <c r="E4" s="11" t="n">
        <v>133.33</v>
      </c>
      <c r="F4" s="11" t="n">
        <v>142.86</v>
      </c>
    </row>
    <row r="5">
      <c r="A5" s="21" t="n">
        <v>200</v>
      </c>
      <c r="B5" s="11" t="n">
        <v>222.22</v>
      </c>
      <c r="C5" s="11" t="n">
        <v>235.29</v>
      </c>
      <c r="D5" s="11" t="n">
        <v>250</v>
      </c>
      <c r="E5" s="11" t="n">
        <v>266.67</v>
      </c>
      <c r="F5" s="11" t="n">
        <v>285.71</v>
      </c>
    </row>
    <row r="6">
      <c r="A6" s="21" t="n">
        <v>300</v>
      </c>
      <c r="B6" s="11" t="n">
        <v>333.33</v>
      </c>
      <c r="C6" s="11" t="n">
        <v>352.94</v>
      </c>
      <c r="D6" s="11" t="n">
        <v>375</v>
      </c>
      <c r="E6" s="11" t="n">
        <v>400</v>
      </c>
      <c r="F6" s="11" t="n">
        <v>428.57</v>
      </c>
    </row>
    <row r="7">
      <c r="A7" s="21" t="n">
        <v>400</v>
      </c>
      <c r="B7" s="11" t="n">
        <v>444.44</v>
      </c>
      <c r="C7" s="11" t="n">
        <v>470.59</v>
      </c>
      <c r="D7" s="11" t="n">
        <v>500</v>
      </c>
      <c r="E7" s="11" t="n">
        <v>533.33</v>
      </c>
      <c r="F7" s="11" t="n">
        <v>571.4299999999999</v>
      </c>
    </row>
    <row r="8">
      <c r="A8" s="21" t="n">
        <v>500</v>
      </c>
      <c r="B8" s="11" t="n">
        <v>555.5599999999999</v>
      </c>
      <c r="C8" s="11" t="n">
        <v>588.24</v>
      </c>
      <c r="D8" s="11" t="n">
        <v>625</v>
      </c>
      <c r="E8" s="11" t="n">
        <v>666.67</v>
      </c>
      <c r="F8" s="11" t="n">
        <v>714.29</v>
      </c>
    </row>
    <row r="9">
      <c r="A9" s="21" t="n">
        <v>600</v>
      </c>
      <c r="B9" s="11" t="n">
        <v>666.67</v>
      </c>
      <c r="C9" s="11" t="n">
        <v>705.88</v>
      </c>
      <c r="D9" s="11" t="n">
        <v>750</v>
      </c>
      <c r="E9" s="11" t="n">
        <v>800</v>
      </c>
      <c r="F9" s="11" t="n">
        <v>857.14</v>
      </c>
    </row>
    <row r="10">
      <c r="A10" s="21" t="n">
        <v>700</v>
      </c>
      <c r="B10" s="11" t="n">
        <v>777.78</v>
      </c>
      <c r="C10" s="11" t="n">
        <v>823.53</v>
      </c>
      <c r="D10" s="11" t="n">
        <v>875</v>
      </c>
      <c r="E10" s="11" t="n">
        <v>933.33</v>
      </c>
      <c r="F10" s="11" t="n">
        <v>1000</v>
      </c>
    </row>
    <row r="11">
      <c r="A11" s="21" t="n">
        <v>800</v>
      </c>
      <c r="B11" s="11" t="n">
        <v>888.89</v>
      </c>
      <c r="C11" s="11" t="n">
        <v>941.1799999999999</v>
      </c>
      <c r="D11" s="11" t="n">
        <v>1000</v>
      </c>
      <c r="E11" s="11" t="n">
        <v>1066.67</v>
      </c>
      <c r="F11" s="11" t="n">
        <v>1142.86</v>
      </c>
    </row>
    <row r="12">
      <c r="A12" s="21" t="n">
        <v>900</v>
      </c>
      <c r="B12" s="11" t="n">
        <v>1000</v>
      </c>
      <c r="C12" s="11" t="n">
        <v>1058.82</v>
      </c>
      <c r="D12" s="11" t="n">
        <v>1125</v>
      </c>
      <c r="E12" s="11" t="n">
        <v>1200</v>
      </c>
      <c r="F12" s="11" t="n">
        <v>1285.71</v>
      </c>
    </row>
    <row r="13">
      <c r="A13" s="21" t="n">
        <v>1000</v>
      </c>
      <c r="B13" s="11" t="n">
        <v>1111.11</v>
      </c>
      <c r="C13" s="11" t="n">
        <v>1176.47</v>
      </c>
      <c r="D13" s="11" t="n">
        <v>1250</v>
      </c>
      <c r="E13" s="11" t="n">
        <v>1333.33</v>
      </c>
      <c r="F13" s="11" t="n">
        <v>1428.57</v>
      </c>
    </row>
    <row r="14">
      <c r="A14" s="21" t="n">
        <v>1500</v>
      </c>
      <c r="B14" s="11" t="n">
        <v>1666.67</v>
      </c>
      <c r="C14" s="11" t="n">
        <v>1764.71</v>
      </c>
      <c r="D14" s="11" t="n">
        <v>1875</v>
      </c>
      <c r="E14" s="11" t="n">
        <v>2000</v>
      </c>
      <c r="F14" s="11" t="n">
        <v>2142.86</v>
      </c>
    </row>
    <row r="15">
      <c r="A15" s="21" t="n">
        <v>2000</v>
      </c>
      <c r="B15" s="11" t="n">
        <v>2222.22</v>
      </c>
      <c r="C15" s="11" t="n">
        <v>2352.94</v>
      </c>
      <c r="D15" s="11" t="n">
        <v>2500</v>
      </c>
      <c r="E15" s="11" t="n">
        <v>2666.67</v>
      </c>
      <c r="F15" s="11" t="n">
        <v>2857.14</v>
      </c>
    </row>
    <row r="16">
      <c r="A16" s="21" t="n">
        <v>3000</v>
      </c>
      <c r="B16" s="11" t="n">
        <v>3333.33</v>
      </c>
      <c r="C16" s="11" t="n">
        <v>3529.41</v>
      </c>
      <c r="D16" s="11" t="n">
        <v>3750</v>
      </c>
      <c r="E16" s="11" t="n">
        <v>4000</v>
      </c>
      <c r="F16" s="11" t="n">
        <v>4285.71</v>
      </c>
    </row>
    <row r="17">
      <c r="A17" s="21" t="n">
        <v>5000</v>
      </c>
      <c r="B17" s="11" t="n">
        <v>5555.56</v>
      </c>
      <c r="C17" s="11" t="n">
        <v>5882.35</v>
      </c>
      <c r="D17" s="11" t="n">
        <v>6250</v>
      </c>
      <c r="E17" s="11" t="n">
        <v>6666.67</v>
      </c>
      <c r="F17" s="11" t="n">
        <v>7142.86</v>
      </c>
    </row>
    <row r="19">
      <c r="A19" s="22" t="inlineStr">
        <is>
          <t>公式 Formula:</t>
        </is>
      </c>
      <c r="B19" s="20" t="inlineStr">
        <is>
          <t>报价 = 成本 ÷ (1 - Margin%)</t>
        </is>
      </c>
    </row>
    <row r="20">
      <c r="A20" s="22" t="inlineStr">
        <is>
          <t>例如:</t>
        </is>
      </c>
      <c r="B20" s="20" t="inlineStr">
        <is>
          <t>成本500 + 20% margin = 500 ÷ 0.8 = 625 USD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2026-04-05T13:19:19Z</dcterms:created>
  <dcterms:modified xsi:type="dcterms:W3CDTF">2026-04-05T13:19:19Z</dcterms:modified>
</cp:coreProperties>
</file>
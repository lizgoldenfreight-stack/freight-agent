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计算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10"/>
    </font>
    <font>
      <name val="Arial"/>
      <b val="1"/>
      <color rgb="002F5496"/>
      <sz val="13"/>
    </font>
    <font>
      <name val="Arial"/>
      <b val="1"/>
      <color rgb="00E65100"/>
      <sz val="11"/>
    </font>
    <font>
      <name val="Arial"/>
      <b val="1"/>
      <sz val="10"/>
    </font>
    <font>
      <name val="Arial"/>
      <sz val="10"/>
    </font>
    <font>
      <name val="Arial"/>
      <i val="1"/>
      <color rgb="00999999"/>
      <sz val="9"/>
    </font>
    <font>
      <name val="Arial"/>
      <b val="1"/>
      <color rgb="002F5496"/>
      <sz val="11"/>
    </font>
    <font>
      <name val="Arial"/>
      <b val="1"/>
      <sz val="12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4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4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3" fontId="5" fillId="0" borderId="1" pivotButton="0" quotePrefix="0" xfId="0"/>
    <xf numFmtId="4" fontId="6" fillId="0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pivotButton="0" quotePrefix="0" xfId="0"/>
    <xf numFmtId="0" fontId="6" fillId="0" borderId="0" pivotButton="0" quotePrefix="0" xfId="0"/>
    <xf numFmtId="4" fontId="0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💰 Margin 自动计算工具</t>
        </is>
      </c>
    </row>
    <row r="2">
      <c r="A2" s="2" t="inlineStr">
        <is>
          <t>填成本和目标售价，自动算出每个环节的 margin 和利润率</t>
        </is>
      </c>
    </row>
    <row r="4">
      <c r="A4" s="3" t="inlineStr">
        <is>
          <t>📊 单票报价计算 Single Shipment</t>
        </is>
      </c>
    </row>
    <row r="6">
      <c r="A6" s="4" t="inlineStr">
        <is>
          <t>📥 输入 INPUT</t>
        </is>
      </c>
    </row>
    <row r="7">
      <c r="A7" s="5" t="inlineStr">
        <is>
          <t>成本 Cost (USD):</t>
        </is>
      </c>
      <c r="B7" s="6" t="n">
        <v>500</v>
      </c>
      <c r="C7" s="7" t="inlineStr">
        <is>
          <t>你的采购总成本</t>
        </is>
      </c>
    </row>
    <row r="8">
      <c r="A8" s="5" t="inlineStr">
        <is>
          <t>目标利润率 Target Margin %:</t>
        </is>
      </c>
      <c r="B8" s="6" t="n">
        <v>20</v>
      </c>
      <c r="C8" s="7" t="inlineStr">
        <is>
          <t>你想赚多少%</t>
        </is>
      </c>
    </row>
    <row r="9">
      <c r="A9" s="5" t="inlineStr">
        <is>
          <t>目标售价 Target Price (USD):</t>
        </is>
      </c>
      <c r="B9" s="6" t="inlineStr"/>
      <c r="C9" s="7" t="inlineStr">
        <is>
          <t>留空=自动算 | 填了=反算margin</t>
        </is>
      </c>
    </row>
    <row r="10">
      <c r="A10" s="5" t="inlineStr">
        <is>
          <t>汇率 Rate (MYR/USD):</t>
        </is>
      </c>
      <c r="B10" s="6" t="n">
        <v>4.5</v>
      </c>
    </row>
    <row r="12">
      <c r="A12" s="8" t="inlineStr">
        <is>
          <t>📤 自动计算 AUTO CALC</t>
        </is>
      </c>
    </row>
    <row r="13">
      <c r="A13" s="5" t="inlineStr">
        <is>
          <t>报价 Selling Price (USD):</t>
        </is>
      </c>
      <c r="B13" s="9">
        <f>IF(B9&lt;&gt;"",B9,B7/(1-B8/100))</f>
        <v/>
      </c>
      <c r="C13" s="7" t="inlineStr">
        <is>
          <t>如果填了目标售价就用目标价，否则按利润率自动算</t>
        </is>
      </c>
    </row>
    <row r="14">
      <c r="A14" s="5" t="inlineStr">
        <is>
          <t>利润 Profit (USD):</t>
        </is>
      </c>
      <c r="B14" s="9">
        <f>B13-B7</f>
        <v/>
      </c>
      <c r="C14" s="7" t="inlineStr">
        <is>
          <t>售价 - 成本</t>
        </is>
      </c>
    </row>
    <row r="15">
      <c r="A15" s="5" t="inlineStr">
        <is>
          <t>实际利润率 Actual Margin %:</t>
        </is>
      </c>
      <c r="B15" s="10">
        <f>IF(B13=0,0,(B13-B7)/B13)</f>
        <v/>
      </c>
      <c r="C15" s="7" t="inlineStr">
        <is>
          <t>利润 ÷ 售价</t>
        </is>
      </c>
    </row>
    <row r="16">
      <c r="A16" s="5" t="inlineStr">
        <is>
          <t>成本占比 Cost %:</t>
        </is>
      </c>
      <c r="B16" s="10">
        <f>IF(B13=0,0,B7/B13)</f>
        <v/>
      </c>
      <c r="C16" s="7" t="inlineStr">
        <is>
          <t>成本 ÷ 售价</t>
        </is>
      </c>
    </row>
    <row r="17">
      <c r="A17" s="5" t="inlineStr">
        <is>
          <t>利润率安全度:</t>
        </is>
      </c>
      <c r="B17" s="11">
        <f>IF(B15&gt;=0.25,"🟢 优秀",IF(B15&gt;=0.15,"🟡 还行",IF(B15&gt;=0.1,"🟠 偏低","🔴 危险")))</f>
        <v/>
      </c>
    </row>
    <row r="18">
      <c r="A18" s="5" t="inlineStr">
        <is>
          <t>售价 (MYR):</t>
        </is>
      </c>
      <c r="B18" s="9">
        <f>B13*B10</f>
        <v/>
      </c>
      <c r="C18" s="7" t="inlineStr">
        <is>
          <t>换算马币</t>
        </is>
      </c>
    </row>
    <row r="19">
      <c r="A19" s="5" t="inlineStr">
        <is>
          <t>利润 (MYR):</t>
        </is>
      </c>
      <c r="B19" s="9">
        <f>(B13-B7)*B10</f>
        <v/>
      </c>
      <c r="C19" s="7" t="inlineStr">
        <is>
          <t>换算马币</t>
        </is>
      </c>
    </row>
    <row r="22">
      <c r="A22" s="3" t="inlineStr">
        <is>
          <t>📋 Margin 速查表 Quick Reference</t>
        </is>
      </c>
    </row>
    <row r="23">
      <c r="A23" s="12" t="inlineStr">
        <is>
          <t>成本 Cost</t>
        </is>
      </c>
      <c r="B23" s="12" t="inlineStr">
        <is>
          <t>10% Margin</t>
        </is>
      </c>
      <c r="C23" s="12" t="inlineStr">
        <is>
          <t>12% Margin</t>
        </is>
      </c>
      <c r="D23" s="12" t="inlineStr">
        <is>
          <t>15% Margin</t>
        </is>
      </c>
      <c r="E23" s="12" t="inlineStr">
        <is>
          <t>18% Margin</t>
        </is>
      </c>
      <c r="F23" s="12" t="inlineStr">
        <is>
          <t>20% Margin</t>
        </is>
      </c>
      <c r="G23" s="12" t="inlineStr">
        <is>
          <t>22% Margin</t>
        </is>
      </c>
      <c r="H23" s="12" t="inlineStr">
        <is>
          <t>25% Margin</t>
        </is>
      </c>
      <c r="I23" s="12" t="inlineStr">
        <is>
          <t>28% Margin</t>
        </is>
      </c>
      <c r="J23" s="12" t="inlineStr">
        <is>
          <t>30% Margin</t>
        </is>
      </c>
    </row>
    <row r="24">
      <c r="A24" s="13" t="n">
        <v>100</v>
      </c>
      <c r="B24" s="14" t="n">
        <v>111.11</v>
      </c>
      <c r="C24" s="14" t="n">
        <v>113.64</v>
      </c>
      <c r="D24" s="15" t="n">
        <v>117.65</v>
      </c>
      <c r="E24" s="15" t="n">
        <v>121.95</v>
      </c>
      <c r="F24" s="16" t="n">
        <v>125</v>
      </c>
      <c r="G24" s="16" t="n">
        <v>128.21</v>
      </c>
      <c r="H24" s="17" t="n">
        <v>133.33</v>
      </c>
      <c r="I24" s="17" t="n">
        <v>138.89</v>
      </c>
      <c r="J24" s="17" t="n">
        <v>142.86</v>
      </c>
    </row>
    <row r="25">
      <c r="A25" s="13" t="n">
        <v>200</v>
      </c>
      <c r="B25" s="14" t="n">
        <v>222.22</v>
      </c>
      <c r="C25" s="14" t="n">
        <v>227.27</v>
      </c>
      <c r="D25" s="15" t="n">
        <v>235.29</v>
      </c>
      <c r="E25" s="15" t="n">
        <v>243.9</v>
      </c>
      <c r="F25" s="16" t="n">
        <v>250</v>
      </c>
      <c r="G25" s="16" t="n">
        <v>256.41</v>
      </c>
      <c r="H25" s="17" t="n">
        <v>266.67</v>
      </c>
      <c r="I25" s="17" t="n">
        <v>277.78</v>
      </c>
      <c r="J25" s="17" t="n">
        <v>285.71</v>
      </c>
    </row>
    <row r="26">
      <c r="A26" s="13" t="n">
        <v>300</v>
      </c>
      <c r="B26" s="14" t="n">
        <v>333.33</v>
      </c>
      <c r="C26" s="14" t="n">
        <v>340.91</v>
      </c>
      <c r="D26" s="15" t="n">
        <v>352.94</v>
      </c>
      <c r="E26" s="15" t="n">
        <v>365.85</v>
      </c>
      <c r="F26" s="16" t="n">
        <v>375</v>
      </c>
      <c r="G26" s="16" t="n">
        <v>384.62</v>
      </c>
      <c r="H26" s="17" t="n">
        <v>400</v>
      </c>
      <c r="I26" s="17" t="n">
        <v>416.67</v>
      </c>
      <c r="J26" s="17" t="n">
        <v>428.57</v>
      </c>
    </row>
    <row r="27">
      <c r="A27" s="13" t="n">
        <v>400</v>
      </c>
      <c r="B27" s="14" t="n">
        <v>444.44</v>
      </c>
      <c r="C27" s="14" t="n">
        <v>454.55</v>
      </c>
      <c r="D27" s="15" t="n">
        <v>470.59</v>
      </c>
      <c r="E27" s="15" t="n">
        <v>487.8</v>
      </c>
      <c r="F27" s="16" t="n">
        <v>500</v>
      </c>
      <c r="G27" s="16" t="n">
        <v>512.8200000000001</v>
      </c>
      <c r="H27" s="17" t="n">
        <v>533.33</v>
      </c>
      <c r="I27" s="17" t="n">
        <v>555.5599999999999</v>
      </c>
      <c r="J27" s="17" t="n">
        <v>571.4299999999999</v>
      </c>
    </row>
    <row r="28">
      <c r="A28" s="13" t="n">
        <v>500</v>
      </c>
      <c r="B28" s="14" t="n">
        <v>555.5599999999999</v>
      </c>
      <c r="C28" s="14" t="n">
        <v>568.1799999999999</v>
      </c>
      <c r="D28" s="15" t="n">
        <v>588.24</v>
      </c>
      <c r="E28" s="15" t="n">
        <v>609.76</v>
      </c>
      <c r="F28" s="16" t="n">
        <v>625</v>
      </c>
      <c r="G28" s="16" t="n">
        <v>641.03</v>
      </c>
      <c r="H28" s="17" t="n">
        <v>666.67</v>
      </c>
      <c r="I28" s="17" t="n">
        <v>694.4400000000001</v>
      </c>
      <c r="J28" s="17" t="n">
        <v>714.29</v>
      </c>
    </row>
    <row r="29">
      <c r="A29" s="13" t="n">
        <v>600</v>
      </c>
      <c r="B29" s="14" t="n">
        <v>666.67</v>
      </c>
      <c r="C29" s="14" t="n">
        <v>681.8200000000001</v>
      </c>
      <c r="D29" s="15" t="n">
        <v>705.88</v>
      </c>
      <c r="E29" s="15" t="n">
        <v>731.71</v>
      </c>
      <c r="F29" s="16" t="n">
        <v>750</v>
      </c>
      <c r="G29" s="16" t="n">
        <v>769.23</v>
      </c>
      <c r="H29" s="17" t="n">
        <v>800</v>
      </c>
      <c r="I29" s="17" t="n">
        <v>833.33</v>
      </c>
      <c r="J29" s="17" t="n">
        <v>857.14</v>
      </c>
    </row>
    <row r="30">
      <c r="A30" s="13" t="n">
        <v>700</v>
      </c>
      <c r="B30" s="14" t="n">
        <v>777.78</v>
      </c>
      <c r="C30" s="14" t="n">
        <v>795.45</v>
      </c>
      <c r="D30" s="15" t="n">
        <v>823.53</v>
      </c>
      <c r="E30" s="15" t="n">
        <v>853.66</v>
      </c>
      <c r="F30" s="16" t="n">
        <v>875</v>
      </c>
      <c r="G30" s="16" t="n">
        <v>897.4400000000001</v>
      </c>
      <c r="H30" s="17" t="n">
        <v>933.33</v>
      </c>
      <c r="I30" s="17" t="n">
        <v>972.22</v>
      </c>
      <c r="J30" s="17" t="n">
        <v>1000</v>
      </c>
    </row>
    <row r="31">
      <c r="A31" s="13" t="n">
        <v>800</v>
      </c>
      <c r="B31" s="14" t="n">
        <v>888.89</v>
      </c>
      <c r="C31" s="14" t="n">
        <v>909.09</v>
      </c>
      <c r="D31" s="15" t="n">
        <v>941.1799999999999</v>
      </c>
      <c r="E31" s="15" t="n">
        <v>975.61</v>
      </c>
      <c r="F31" s="16" t="n">
        <v>1000</v>
      </c>
      <c r="G31" s="16" t="n">
        <v>1025.64</v>
      </c>
      <c r="H31" s="17" t="n">
        <v>1066.67</v>
      </c>
      <c r="I31" s="17" t="n">
        <v>1111.11</v>
      </c>
      <c r="J31" s="17" t="n">
        <v>1142.86</v>
      </c>
    </row>
    <row r="32">
      <c r="A32" s="13" t="n">
        <v>900</v>
      </c>
      <c r="B32" s="14" t="n">
        <v>1000</v>
      </c>
      <c r="C32" s="14" t="n">
        <v>1022.73</v>
      </c>
      <c r="D32" s="15" t="n">
        <v>1058.82</v>
      </c>
      <c r="E32" s="15" t="n">
        <v>1097.56</v>
      </c>
      <c r="F32" s="16" t="n">
        <v>1125</v>
      </c>
      <c r="G32" s="16" t="n">
        <v>1153.85</v>
      </c>
      <c r="H32" s="17" t="n">
        <v>1200</v>
      </c>
      <c r="I32" s="17" t="n">
        <v>1250</v>
      </c>
      <c r="J32" s="17" t="n">
        <v>1285.71</v>
      </c>
    </row>
    <row r="33">
      <c r="A33" s="13" t="n">
        <v>1000</v>
      </c>
      <c r="B33" s="14" t="n">
        <v>1111.11</v>
      </c>
      <c r="C33" s="14" t="n">
        <v>1136.36</v>
      </c>
      <c r="D33" s="15" t="n">
        <v>1176.47</v>
      </c>
      <c r="E33" s="15" t="n">
        <v>1219.51</v>
      </c>
      <c r="F33" s="16" t="n">
        <v>1250</v>
      </c>
      <c r="G33" s="16" t="n">
        <v>1282.05</v>
      </c>
      <c r="H33" s="17" t="n">
        <v>1333.33</v>
      </c>
      <c r="I33" s="17" t="n">
        <v>1388.89</v>
      </c>
      <c r="J33" s="17" t="n">
        <v>1428.57</v>
      </c>
    </row>
    <row r="34">
      <c r="A34" s="13" t="n">
        <v>1500</v>
      </c>
      <c r="B34" s="14" t="n">
        <v>1666.67</v>
      </c>
      <c r="C34" s="14" t="n">
        <v>1704.55</v>
      </c>
      <c r="D34" s="15" t="n">
        <v>1764.71</v>
      </c>
      <c r="E34" s="15" t="n">
        <v>1829.27</v>
      </c>
      <c r="F34" s="16" t="n">
        <v>1875</v>
      </c>
      <c r="G34" s="16" t="n">
        <v>1923.08</v>
      </c>
      <c r="H34" s="17" t="n">
        <v>2000</v>
      </c>
      <c r="I34" s="17" t="n">
        <v>2083.33</v>
      </c>
      <c r="J34" s="17" t="n">
        <v>2142.86</v>
      </c>
    </row>
    <row r="35">
      <c r="A35" s="13" t="n">
        <v>2000</v>
      </c>
      <c r="B35" s="14" t="n">
        <v>2222.22</v>
      </c>
      <c r="C35" s="14" t="n">
        <v>2272.73</v>
      </c>
      <c r="D35" s="15" t="n">
        <v>2352.94</v>
      </c>
      <c r="E35" s="15" t="n">
        <v>2439.02</v>
      </c>
      <c r="F35" s="16" t="n">
        <v>2500</v>
      </c>
      <c r="G35" s="16" t="n">
        <v>2564.1</v>
      </c>
      <c r="H35" s="17" t="n">
        <v>2666.67</v>
      </c>
      <c r="I35" s="17" t="n">
        <v>2777.78</v>
      </c>
      <c r="J35" s="17" t="n">
        <v>2857.14</v>
      </c>
    </row>
    <row r="36">
      <c r="A36" s="13" t="n">
        <v>2500</v>
      </c>
      <c r="B36" s="14" t="n">
        <v>2777.78</v>
      </c>
      <c r="C36" s="14" t="n">
        <v>2840.91</v>
      </c>
      <c r="D36" s="15" t="n">
        <v>2941.18</v>
      </c>
      <c r="E36" s="15" t="n">
        <v>3048.78</v>
      </c>
      <c r="F36" s="16" t="n">
        <v>3125</v>
      </c>
      <c r="G36" s="16" t="n">
        <v>3205.13</v>
      </c>
      <c r="H36" s="17" t="n">
        <v>3333.33</v>
      </c>
      <c r="I36" s="17" t="n">
        <v>3472.22</v>
      </c>
      <c r="J36" s="17" t="n">
        <v>3571.43</v>
      </c>
    </row>
    <row r="37">
      <c r="A37" s="13" t="n">
        <v>3000</v>
      </c>
      <c r="B37" s="14" t="n">
        <v>3333.33</v>
      </c>
      <c r="C37" s="14" t="n">
        <v>3409.09</v>
      </c>
      <c r="D37" s="15" t="n">
        <v>3529.41</v>
      </c>
      <c r="E37" s="15" t="n">
        <v>3658.54</v>
      </c>
      <c r="F37" s="16" t="n">
        <v>3750</v>
      </c>
      <c r="G37" s="16" t="n">
        <v>3846.15</v>
      </c>
      <c r="H37" s="17" t="n">
        <v>4000</v>
      </c>
      <c r="I37" s="17" t="n">
        <v>4166.67</v>
      </c>
      <c r="J37" s="17" t="n">
        <v>4285.71</v>
      </c>
    </row>
    <row r="38">
      <c r="A38" s="13" t="n">
        <v>4000</v>
      </c>
      <c r="B38" s="14" t="n">
        <v>4444.44</v>
      </c>
      <c r="C38" s="14" t="n">
        <v>4545.45</v>
      </c>
      <c r="D38" s="15" t="n">
        <v>4705.88</v>
      </c>
      <c r="E38" s="15" t="n">
        <v>4878.05</v>
      </c>
      <c r="F38" s="16" t="n">
        <v>5000</v>
      </c>
      <c r="G38" s="16" t="n">
        <v>5128.21</v>
      </c>
      <c r="H38" s="17" t="n">
        <v>5333.33</v>
      </c>
      <c r="I38" s="17" t="n">
        <v>5555.56</v>
      </c>
      <c r="J38" s="17" t="n">
        <v>5714.29</v>
      </c>
    </row>
    <row r="39">
      <c r="A39" s="13" t="n">
        <v>5000</v>
      </c>
      <c r="B39" s="14" t="n">
        <v>5555.56</v>
      </c>
      <c r="C39" s="14" t="n">
        <v>5681.82</v>
      </c>
      <c r="D39" s="15" t="n">
        <v>5882.35</v>
      </c>
      <c r="E39" s="15" t="n">
        <v>6097.56</v>
      </c>
      <c r="F39" s="16" t="n">
        <v>6250</v>
      </c>
      <c r="G39" s="16" t="n">
        <v>6410.26</v>
      </c>
      <c r="H39" s="17" t="n">
        <v>6666.67</v>
      </c>
      <c r="I39" s="17" t="n">
        <v>6944.44</v>
      </c>
      <c r="J39" s="17" t="n">
        <v>7142.86</v>
      </c>
    </row>
    <row r="41">
      <c r="A41" s="18" t="inlineStr">
        <is>
          <t>📐 公式 Formula:</t>
        </is>
      </c>
      <c r="B41" s="19" t="inlineStr">
        <is>
          <t>报价 = 成本 ÷ (1 - Margin%)</t>
        </is>
      </c>
    </row>
    <row r="42">
      <c r="A42" s="18" t="inlineStr">
        <is>
          <t>例 Example:</t>
        </is>
      </c>
      <c r="B42" s="20" t="inlineStr">
        <is>
          <t>成本 500 + 20% margin = 500 ÷ 0.80 = 625 USD</t>
        </is>
      </c>
    </row>
    <row r="44">
      <c r="A44" s="3" t="inlineStr">
        <is>
          <t>📊 多票利润对比 Multi-Quote Compare</t>
        </is>
      </c>
    </row>
    <row r="45">
      <c r="A45" s="12" t="inlineStr">
        <is>
          <t>报价方案</t>
        </is>
      </c>
      <c r="B45" s="12" t="inlineStr">
        <is>
          <t>成本 Cost</t>
        </is>
      </c>
      <c r="C45" s="12" t="inlineStr">
        <is>
          <t>售价 Price</t>
        </is>
      </c>
      <c r="D45" s="12" t="inlineStr">
        <is>
          <t>利润 Profit</t>
        </is>
      </c>
      <c r="E45" s="12" t="inlineStr">
        <is>
          <t>利润率 Margin</t>
        </is>
      </c>
      <c r="F45" s="12" t="inlineStr">
        <is>
          <t>推荐度</t>
        </is>
      </c>
    </row>
    <row r="46">
      <c r="A46" s="19" t="inlineStr">
        <is>
          <t>方案 1</t>
        </is>
      </c>
      <c r="B46" s="21" t="n"/>
      <c r="C46" s="21" t="n"/>
      <c r="D46" s="14">
        <f>IF(C46="","",C46-B46)</f>
        <v/>
      </c>
      <c r="E46" s="22">
        <f>IF(C46=0,"",D46/C46)</f>
        <v/>
      </c>
      <c r="F46" s="23">
        <f>IF(E46="","",IF(E46&gt;=0.2,"⭐⭐⭐",IF(E46&gt;=0.15,"⭐⭐",IF(E46&gt;=0.1,"⭐","❌"))))</f>
        <v/>
      </c>
    </row>
    <row r="47">
      <c r="A47" s="19" t="inlineStr">
        <is>
          <t>方案 2</t>
        </is>
      </c>
      <c r="B47" s="21" t="n"/>
      <c r="C47" s="21" t="n"/>
      <c r="D47" s="14">
        <f>IF(C47="","",C47-B47)</f>
        <v/>
      </c>
      <c r="E47" s="22">
        <f>IF(C47=0,"",D47/C47)</f>
        <v/>
      </c>
      <c r="F47" s="23">
        <f>IF(E47="","",IF(E47&gt;=0.2,"⭐⭐⭐",IF(E47&gt;=0.15,"⭐⭐",IF(E47&gt;=0.1,"⭐","❌"))))</f>
        <v/>
      </c>
    </row>
    <row r="48">
      <c r="A48" s="19" t="inlineStr">
        <is>
          <t>方案 3</t>
        </is>
      </c>
      <c r="B48" s="21" t="n"/>
      <c r="C48" s="21" t="n"/>
      <c r="D48" s="14">
        <f>IF(C48="","",C48-B48)</f>
        <v/>
      </c>
      <c r="E48" s="22">
        <f>IF(C48=0,"",D48/C48)</f>
        <v/>
      </c>
      <c r="F48" s="23">
        <f>IF(E48="","",IF(E48&gt;=0.2,"⭐⭐⭐",IF(E48&gt;=0.15,"⭐⭐",IF(E48&gt;=0.1,"⭐","❌"))))</f>
        <v/>
      </c>
    </row>
    <row r="49">
      <c r="A49" s="19" t="inlineStr">
        <is>
          <t>方案 4</t>
        </is>
      </c>
      <c r="B49" s="21" t="n"/>
      <c r="C49" s="21" t="n"/>
      <c r="D49" s="14">
        <f>IF(C49="","",C49-B49)</f>
        <v/>
      </c>
      <c r="E49" s="22">
        <f>IF(C49=0,"",D49/C49)</f>
        <v/>
      </c>
      <c r="F49" s="23">
        <f>IF(E49="","",IF(E49&gt;=0.2,"⭐⭐⭐",IF(E49&gt;=0.15,"⭐⭐",IF(E49&gt;=0.1,"⭐","❌"))))</f>
        <v/>
      </c>
    </row>
    <row r="50">
      <c r="A50" s="19" t="inlineStr">
        <is>
          <t>方案 5</t>
        </is>
      </c>
      <c r="B50" s="21" t="n"/>
      <c r="C50" s="21" t="n"/>
      <c r="D50" s="14">
        <f>IF(C50="","",C50-B50)</f>
        <v/>
      </c>
      <c r="E50" s="22">
        <f>IF(C50=0,"",D50/C50)</f>
        <v/>
      </c>
      <c r="F50" s="23">
        <f>IF(E50="","",IF(E50&gt;=0.2,"⭐⭐⭐",IF(E50&gt;=0.15,"⭐⭐",IF(E50&gt;=0.1,"⭐","❌"))))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2026-04-05T13:43:04Z</dcterms:created>
  <dcterms:modified xsi:type="dcterms:W3CDTF">2026-04-05T13:43:04Z</dcterms:modified>
</cp:coreProperties>
</file>
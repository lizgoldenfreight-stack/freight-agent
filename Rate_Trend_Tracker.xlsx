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价记录 Rate Log" sheetId="1" state="visible" r:id="rId1"/>
    <sheet name="空运记录 Air Log" sheetId="2" state="visible" r:id="rId2"/>
    <sheet name="趋势看板 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F5496"/>
      <sz val="18"/>
    </font>
    <font>
      <name val="Arial"/>
      <color rgb="00666666"/>
      <sz val="10"/>
    </font>
    <font>
      <name val="Arial"/>
      <b val="1"/>
      <color rgb="002F5496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3" borderId="1" pivotButton="0" quotePrefix="0" xfId="0"/>
    <xf numFmtId="3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3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2" customWidth="1" min="4" max="4"/>
    <col width="14" customWidth="1" min="5" max="5"/>
    <col width="10" customWidth="1" min="6" max="6"/>
    <col width="10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📈 运价趋势跟踪 Rate Trend Tracker</t>
        </is>
      </c>
    </row>
    <row r="2">
      <c r="A2" s="2" t="inlineStr">
        <is>
          <t>每周记录运价变化，找出最佳采购时机</t>
        </is>
      </c>
    </row>
    <row r="4">
      <c r="A4" s="3" t="inlineStr">
        <is>
          <t>🚢 海运整柜 FCL Rates</t>
        </is>
      </c>
    </row>
    <row r="5">
      <c r="A5" s="4" t="inlineStr">
        <is>
          <t>日期
Date</t>
        </is>
      </c>
      <c r="B5" s="4" t="inlineStr">
        <is>
          <t>供应商
Supplier</t>
        </is>
      </c>
      <c r="C5" s="4" t="inlineStr">
        <is>
          <t>航线
Route</t>
        </is>
      </c>
      <c r="D5" s="4" t="inlineStr">
        <is>
          <t>POL</t>
        </is>
      </c>
      <c r="E5" s="4" t="inlineStr">
        <is>
          <t>POD</t>
        </is>
      </c>
      <c r="F5" s="4" t="inlineStr">
        <is>
          <t>20GP
(USD)</t>
        </is>
      </c>
      <c r="G5" s="4" t="inlineStr">
        <is>
          <t>40GP
(USD)</t>
        </is>
      </c>
      <c r="H5" s="4" t="inlineStr">
        <is>
          <t>40HQ
(USD)</t>
        </is>
      </c>
      <c r="I5" s="4" t="inlineStr">
        <is>
          <t>变化
Change</t>
        </is>
      </c>
      <c r="J5" s="4" t="inlineStr">
        <is>
          <t>备注
Notes</t>
        </is>
      </c>
    </row>
    <row r="6">
      <c r="A6" s="5" t="inlineStr">
        <is>
          <t>2026-04-01</t>
        </is>
      </c>
      <c r="B6" s="6" t="n"/>
      <c r="C6" s="5" t="inlineStr">
        <is>
          <t>Shanghai→PKL</t>
        </is>
      </c>
      <c r="D6" s="5" t="inlineStr">
        <is>
          <t>Shanghai</t>
        </is>
      </c>
      <c r="E6" s="5" t="inlineStr">
        <is>
          <t>Port Klang</t>
        </is>
      </c>
      <c r="F6" s="7" t="n"/>
      <c r="G6" s="7" t="n"/>
      <c r="H6" s="7" t="n"/>
      <c r="I6" s="8" t="n"/>
      <c r="J6" s="9" t="n"/>
    </row>
    <row r="7">
      <c r="A7" s="5" t="inlineStr">
        <is>
          <t>2026-04-01</t>
        </is>
      </c>
      <c r="B7" s="6" t="n"/>
      <c r="C7" s="5" t="inlineStr">
        <is>
          <t>Ningbo→PKL</t>
        </is>
      </c>
      <c r="D7" s="5" t="inlineStr">
        <is>
          <t>Ningbo</t>
        </is>
      </c>
      <c r="E7" s="5" t="inlineStr">
        <is>
          <t>Port Klang</t>
        </is>
      </c>
      <c r="F7" s="7" t="n"/>
      <c r="G7" s="7" t="n"/>
      <c r="H7" s="7" t="n"/>
      <c r="I7" s="8" t="n"/>
      <c r="J7" s="9" t="n"/>
    </row>
    <row r="8">
      <c r="A8" s="5" t="inlineStr">
        <is>
          <t>2026-04-01</t>
        </is>
      </c>
      <c r="B8" s="6" t="n"/>
      <c r="C8" s="5" t="inlineStr">
        <is>
          <t>Shenzhen→PKL</t>
        </is>
      </c>
      <c r="D8" s="5" t="inlineStr">
        <is>
          <t>Shenzhen</t>
        </is>
      </c>
      <c r="E8" s="5" t="inlineStr">
        <is>
          <t>Port Klang</t>
        </is>
      </c>
      <c r="F8" s="7" t="n"/>
      <c r="G8" s="7" t="n"/>
      <c r="H8" s="7" t="n"/>
      <c r="I8" s="8" t="n"/>
      <c r="J8" s="9" t="n"/>
    </row>
    <row r="9">
      <c r="A9" s="5" t="inlineStr">
        <is>
          <t>2026-04-01</t>
        </is>
      </c>
      <c r="B9" s="6" t="n"/>
      <c r="C9" s="5" t="inlineStr">
        <is>
          <t>Shanghai→Kuching</t>
        </is>
      </c>
      <c r="D9" s="5" t="inlineStr">
        <is>
          <t>Shanghai</t>
        </is>
      </c>
      <c r="E9" s="5" t="inlineStr">
        <is>
          <t>Kuching</t>
        </is>
      </c>
      <c r="F9" s="7" t="n"/>
      <c r="G9" s="7" t="n"/>
      <c r="H9" s="7" t="n"/>
      <c r="I9" s="8" t="n"/>
      <c r="J9" s="9" t="n"/>
    </row>
    <row r="10">
      <c r="A10" s="5" t="inlineStr">
        <is>
          <t>2026-04-01</t>
        </is>
      </c>
      <c r="B10" s="6" t="n"/>
      <c r="C10" s="5" t="inlineStr">
        <is>
          <t>Shenzhen→KK</t>
        </is>
      </c>
      <c r="D10" s="5" t="inlineStr">
        <is>
          <t>Shenzhen</t>
        </is>
      </c>
      <c r="E10" s="5" t="inlineStr">
        <is>
          <t>Kota Kinabalu</t>
        </is>
      </c>
      <c r="F10" s="7" t="n"/>
      <c r="G10" s="7" t="n"/>
      <c r="H10" s="7" t="n"/>
      <c r="I10" s="8" t="n"/>
      <c r="J10" s="9" t="n"/>
    </row>
    <row r="11">
      <c r="A11" s="5" t="inlineStr">
        <is>
          <t>2026-04-08</t>
        </is>
      </c>
      <c r="B11" s="6" t="n"/>
      <c r="C11" s="5" t="inlineStr">
        <is>
          <t>Shanghai→PKL</t>
        </is>
      </c>
      <c r="D11" s="5" t="inlineStr">
        <is>
          <t>Shanghai</t>
        </is>
      </c>
      <c r="E11" s="5" t="inlineStr">
        <is>
          <t>Port Klang</t>
        </is>
      </c>
      <c r="F11" s="7" t="n"/>
      <c r="G11" s="7" t="n"/>
      <c r="H11" s="7" t="n"/>
      <c r="I11" s="5">
        <f>IF(OR(H11="",H6=""),"",IF(H11&gt;H6,"📈 +"&amp;(H11-H6),IF(H11&lt;H6,"📉 -"&amp;(H6-H11),"➡️ 平")))</f>
        <v/>
      </c>
      <c r="J11" s="9" t="n"/>
    </row>
    <row r="12">
      <c r="A12" s="5" t="inlineStr">
        <is>
          <t>2026-04-08</t>
        </is>
      </c>
      <c r="B12" s="6" t="n"/>
      <c r="C12" s="5" t="inlineStr">
        <is>
          <t>Ningbo→PKL</t>
        </is>
      </c>
      <c r="D12" s="5" t="inlineStr">
        <is>
          <t>Ningbo</t>
        </is>
      </c>
      <c r="E12" s="5" t="inlineStr">
        <is>
          <t>Port Klang</t>
        </is>
      </c>
      <c r="F12" s="7" t="n"/>
      <c r="G12" s="7" t="n"/>
      <c r="H12" s="7" t="n"/>
      <c r="I12" s="5">
        <f>IF(OR(H12="",H7=""),"",IF(H12&gt;H7,"📈 +"&amp;(H12-H7),IF(H12&lt;H7,"📉 -"&amp;(H7-H12),"➡️ 平")))</f>
        <v/>
      </c>
      <c r="J12" s="9" t="n"/>
    </row>
    <row r="13">
      <c r="A13" s="5" t="inlineStr">
        <is>
          <t>2026-04-08</t>
        </is>
      </c>
      <c r="B13" s="6" t="n"/>
      <c r="C13" s="5" t="inlineStr">
        <is>
          <t>Shenzhen→PKL</t>
        </is>
      </c>
      <c r="D13" s="5" t="inlineStr">
        <is>
          <t>Shenzhen</t>
        </is>
      </c>
      <c r="E13" s="5" t="inlineStr">
        <is>
          <t>Port Klang</t>
        </is>
      </c>
      <c r="F13" s="7" t="n"/>
      <c r="G13" s="7" t="n"/>
      <c r="H13" s="7" t="n"/>
      <c r="I13" s="5">
        <f>IF(OR(H13="",H8=""),"",IF(H13&gt;H8,"📈 +"&amp;(H13-H8),IF(H13&lt;H8,"📉 -"&amp;(H8-H13),"➡️ 平")))</f>
        <v/>
      </c>
      <c r="J13" s="9" t="n"/>
    </row>
    <row r="14">
      <c r="A14" s="5" t="inlineStr">
        <is>
          <t>2026-04-08</t>
        </is>
      </c>
      <c r="B14" s="6" t="n"/>
      <c r="C14" s="5" t="inlineStr">
        <is>
          <t>Shanghai→Kuching</t>
        </is>
      </c>
      <c r="D14" s="5" t="inlineStr">
        <is>
          <t>Shanghai</t>
        </is>
      </c>
      <c r="E14" s="5" t="inlineStr">
        <is>
          <t>Kuching</t>
        </is>
      </c>
      <c r="F14" s="7" t="n"/>
      <c r="G14" s="7" t="n"/>
      <c r="H14" s="7" t="n"/>
      <c r="I14" s="5">
        <f>IF(OR(H14="",H9=""),"",IF(H14&gt;H9,"📈 +"&amp;(H14-H9),IF(H14&lt;H9,"📉 -"&amp;(H9-H14),"➡️ 平")))</f>
        <v/>
      </c>
      <c r="J14" s="9" t="n"/>
    </row>
    <row r="15">
      <c r="A15" s="5" t="inlineStr">
        <is>
          <t>2026-04-08</t>
        </is>
      </c>
      <c r="B15" s="6" t="n"/>
      <c r="C15" s="5" t="inlineStr">
        <is>
          <t>Shenzhen→KK</t>
        </is>
      </c>
      <c r="D15" s="5" t="inlineStr">
        <is>
          <t>Shenzhen</t>
        </is>
      </c>
      <c r="E15" s="5" t="inlineStr">
        <is>
          <t>Kota Kinabalu</t>
        </is>
      </c>
      <c r="F15" s="7" t="n"/>
      <c r="G15" s="7" t="n"/>
      <c r="H15" s="7" t="n"/>
      <c r="I15" s="5">
        <f>IF(OR(H15="",H10=""),"",IF(H15&gt;H10,"📈 +"&amp;(H15-H10),IF(H15&lt;H10,"📉 -"&amp;(H10-H15),"➡️ 平")))</f>
        <v/>
      </c>
      <c r="J15" s="9" t="n"/>
    </row>
    <row r="16">
      <c r="A16" s="5" t="inlineStr">
        <is>
          <t>2026-04-15</t>
        </is>
      </c>
      <c r="B16" s="6" t="n"/>
      <c r="C16" s="5" t="inlineStr">
        <is>
          <t>Shanghai→PKL</t>
        </is>
      </c>
      <c r="D16" s="5" t="inlineStr">
        <is>
          <t>Shanghai</t>
        </is>
      </c>
      <c r="E16" s="5" t="inlineStr">
        <is>
          <t>Port Klang</t>
        </is>
      </c>
      <c r="F16" s="7" t="n"/>
      <c r="G16" s="7" t="n"/>
      <c r="H16" s="7" t="n"/>
      <c r="I16" s="5">
        <f>IF(OR(H16="",H11=""),"",IF(H16&gt;H11,"📈 +"&amp;(H16-H11),IF(H16&lt;H11,"📉 -"&amp;(H11-H16),"➡️ 平")))</f>
        <v/>
      </c>
      <c r="J16" s="9" t="n"/>
    </row>
    <row r="17">
      <c r="A17" s="5" t="inlineStr">
        <is>
          <t>2026-04-15</t>
        </is>
      </c>
      <c r="B17" s="6" t="n"/>
      <c r="C17" s="5" t="inlineStr">
        <is>
          <t>Ningbo→PKL</t>
        </is>
      </c>
      <c r="D17" s="5" t="inlineStr">
        <is>
          <t>Ningbo</t>
        </is>
      </c>
      <c r="E17" s="5" t="inlineStr">
        <is>
          <t>Port Klang</t>
        </is>
      </c>
      <c r="F17" s="7" t="n"/>
      <c r="G17" s="7" t="n"/>
      <c r="H17" s="7" t="n"/>
      <c r="I17" s="5">
        <f>IF(OR(H17="",H12=""),"",IF(H17&gt;H12,"📈 +"&amp;(H17-H12),IF(H17&lt;H12,"📉 -"&amp;(H12-H17),"➡️ 平")))</f>
        <v/>
      </c>
      <c r="J17" s="9" t="n"/>
    </row>
    <row r="18">
      <c r="A18" s="5" t="inlineStr">
        <is>
          <t>2026-04-15</t>
        </is>
      </c>
      <c r="B18" s="6" t="n"/>
      <c r="C18" s="5" t="inlineStr">
        <is>
          <t>Shenzhen→PKL</t>
        </is>
      </c>
      <c r="D18" s="5" t="inlineStr">
        <is>
          <t>Shenzhen</t>
        </is>
      </c>
      <c r="E18" s="5" t="inlineStr">
        <is>
          <t>Port Klang</t>
        </is>
      </c>
      <c r="F18" s="7" t="n"/>
      <c r="G18" s="7" t="n"/>
      <c r="H18" s="7" t="n"/>
      <c r="I18" s="5">
        <f>IF(OR(H18="",H13=""),"",IF(H18&gt;H13,"📈 +"&amp;(H18-H13),IF(H18&lt;H13,"📉 -"&amp;(H13-H18),"➡️ 平")))</f>
        <v/>
      </c>
      <c r="J18" s="9" t="n"/>
    </row>
    <row r="19">
      <c r="A19" s="5" t="inlineStr">
        <is>
          <t>2026-04-15</t>
        </is>
      </c>
      <c r="B19" s="6" t="n"/>
      <c r="C19" s="5" t="inlineStr">
        <is>
          <t>Shanghai→Kuching</t>
        </is>
      </c>
      <c r="D19" s="5" t="inlineStr">
        <is>
          <t>Shanghai</t>
        </is>
      </c>
      <c r="E19" s="5" t="inlineStr">
        <is>
          <t>Kuching</t>
        </is>
      </c>
      <c r="F19" s="7" t="n"/>
      <c r="G19" s="7" t="n"/>
      <c r="H19" s="7" t="n"/>
      <c r="I19" s="5">
        <f>IF(OR(H19="",H14=""),"",IF(H19&gt;H14,"📈 +"&amp;(H19-H14),IF(H19&lt;H14,"📉 -"&amp;(H14-H19),"➡️ 平")))</f>
        <v/>
      </c>
      <c r="J19" s="9" t="n"/>
    </row>
    <row r="20">
      <c r="A20" s="5" t="inlineStr">
        <is>
          <t>2026-04-15</t>
        </is>
      </c>
      <c r="B20" s="6" t="n"/>
      <c r="C20" s="5" t="inlineStr">
        <is>
          <t>Shenzhen→KK</t>
        </is>
      </c>
      <c r="D20" s="5" t="inlineStr">
        <is>
          <t>Shenzhen</t>
        </is>
      </c>
      <c r="E20" s="5" t="inlineStr">
        <is>
          <t>Kota Kinabalu</t>
        </is>
      </c>
      <c r="F20" s="7" t="n"/>
      <c r="G20" s="7" t="n"/>
      <c r="H20" s="7" t="n"/>
      <c r="I20" s="5">
        <f>IF(OR(H20="",H15=""),"",IF(H20&gt;H15,"📈 +"&amp;(H20-H15),IF(H20&lt;H15,"📉 -"&amp;(H15-H20),"➡️ 平")))</f>
        <v/>
      </c>
      <c r="J20" s="9" t="n"/>
    </row>
    <row r="21">
      <c r="A21" s="5" t="inlineStr">
        <is>
          <t>2026-04-22</t>
        </is>
      </c>
      <c r="B21" s="6" t="n"/>
      <c r="C21" s="5" t="inlineStr">
        <is>
          <t>Shanghai→PKL</t>
        </is>
      </c>
      <c r="D21" s="5" t="inlineStr">
        <is>
          <t>Shanghai</t>
        </is>
      </c>
      <c r="E21" s="5" t="inlineStr">
        <is>
          <t>Port Klang</t>
        </is>
      </c>
      <c r="F21" s="7" t="n"/>
      <c r="G21" s="7" t="n"/>
      <c r="H21" s="7" t="n"/>
      <c r="I21" s="5">
        <f>IF(OR(H21="",H16=""),"",IF(H21&gt;H16,"📈 +"&amp;(H21-H16),IF(H21&lt;H16,"📉 -"&amp;(H16-H21),"➡️ 平")))</f>
        <v/>
      </c>
      <c r="J21" s="9" t="n"/>
    </row>
    <row r="22">
      <c r="A22" s="5" t="inlineStr">
        <is>
          <t>2026-04-22</t>
        </is>
      </c>
      <c r="B22" s="6" t="n"/>
      <c r="C22" s="5" t="inlineStr">
        <is>
          <t>Ningbo→PKL</t>
        </is>
      </c>
      <c r="D22" s="5" t="inlineStr">
        <is>
          <t>Ningbo</t>
        </is>
      </c>
      <c r="E22" s="5" t="inlineStr">
        <is>
          <t>Port Klang</t>
        </is>
      </c>
      <c r="F22" s="7" t="n"/>
      <c r="G22" s="7" t="n"/>
      <c r="H22" s="7" t="n"/>
      <c r="I22" s="5">
        <f>IF(OR(H22="",H17=""),"",IF(H22&gt;H17,"📈 +"&amp;(H22-H17),IF(H22&lt;H17,"📉 -"&amp;(H17-H22),"➡️ 平")))</f>
        <v/>
      </c>
      <c r="J22" s="9" t="n"/>
    </row>
    <row r="23">
      <c r="A23" s="5" t="inlineStr">
        <is>
          <t>2026-04-22</t>
        </is>
      </c>
      <c r="B23" s="6" t="n"/>
      <c r="C23" s="5" t="inlineStr">
        <is>
          <t>Shenzhen→PKL</t>
        </is>
      </c>
      <c r="D23" s="5" t="inlineStr">
        <is>
          <t>Shenzhen</t>
        </is>
      </c>
      <c r="E23" s="5" t="inlineStr">
        <is>
          <t>Port Klang</t>
        </is>
      </c>
      <c r="F23" s="7" t="n"/>
      <c r="G23" s="7" t="n"/>
      <c r="H23" s="7" t="n"/>
      <c r="I23" s="5">
        <f>IF(OR(H23="",H18=""),"",IF(H23&gt;H18,"📈 +"&amp;(H23-H18),IF(H23&lt;H18,"📉 -"&amp;(H18-H23),"➡️ 平")))</f>
        <v/>
      </c>
      <c r="J23" s="9" t="n"/>
    </row>
    <row r="24">
      <c r="A24" s="5" t="inlineStr">
        <is>
          <t>2026-04-22</t>
        </is>
      </c>
      <c r="B24" s="6" t="n"/>
      <c r="C24" s="5" t="inlineStr">
        <is>
          <t>Shanghai→Kuching</t>
        </is>
      </c>
      <c r="D24" s="5" t="inlineStr">
        <is>
          <t>Shanghai</t>
        </is>
      </c>
      <c r="E24" s="5" t="inlineStr">
        <is>
          <t>Kuching</t>
        </is>
      </c>
      <c r="F24" s="7" t="n"/>
      <c r="G24" s="7" t="n"/>
      <c r="H24" s="7" t="n"/>
      <c r="I24" s="5">
        <f>IF(OR(H24="",H19=""),"",IF(H24&gt;H19,"📈 +"&amp;(H24-H19),IF(H24&lt;H19,"📉 -"&amp;(H19-H24),"➡️ 平")))</f>
        <v/>
      </c>
      <c r="J24" s="9" t="n"/>
    </row>
    <row r="25">
      <c r="A25" s="5" t="inlineStr">
        <is>
          <t>2026-04-22</t>
        </is>
      </c>
      <c r="B25" s="6" t="n"/>
      <c r="C25" s="5" t="inlineStr">
        <is>
          <t>Shenzhen→KK</t>
        </is>
      </c>
      <c r="D25" s="5" t="inlineStr">
        <is>
          <t>Shenzhen</t>
        </is>
      </c>
      <c r="E25" s="5" t="inlineStr">
        <is>
          <t>Kota Kinabalu</t>
        </is>
      </c>
      <c r="F25" s="7" t="n"/>
      <c r="G25" s="7" t="n"/>
      <c r="H25" s="7" t="n"/>
      <c r="I25" s="5">
        <f>IF(OR(H25="",H20=""),"",IF(H25&gt;H20,"📈 +"&amp;(H25-H20),IF(H25&lt;H20,"📉 -"&amp;(H20-H25),"➡️ 平")))</f>
        <v/>
      </c>
      <c r="J25" s="9" t="n"/>
    </row>
    <row r="26">
      <c r="A26" s="5" t="inlineStr">
        <is>
          <t>2026-04-29</t>
        </is>
      </c>
      <c r="B26" s="6" t="n"/>
      <c r="C26" s="5" t="inlineStr">
        <is>
          <t>Shanghai→PKL</t>
        </is>
      </c>
      <c r="D26" s="5" t="inlineStr">
        <is>
          <t>Shanghai</t>
        </is>
      </c>
      <c r="E26" s="5" t="inlineStr">
        <is>
          <t>Port Klang</t>
        </is>
      </c>
      <c r="F26" s="7" t="n"/>
      <c r="G26" s="7" t="n"/>
      <c r="H26" s="7" t="n"/>
      <c r="I26" s="5">
        <f>IF(OR(H26="",H21=""),"",IF(H26&gt;H21,"📈 +"&amp;(H26-H21),IF(H26&lt;H21,"📉 -"&amp;(H21-H26),"➡️ 平")))</f>
        <v/>
      </c>
      <c r="J26" s="9" t="n"/>
    </row>
    <row r="27">
      <c r="A27" s="5" t="inlineStr">
        <is>
          <t>2026-04-29</t>
        </is>
      </c>
      <c r="B27" s="6" t="n"/>
      <c r="C27" s="5" t="inlineStr">
        <is>
          <t>Ningbo→PKL</t>
        </is>
      </c>
      <c r="D27" s="5" t="inlineStr">
        <is>
          <t>Ningbo</t>
        </is>
      </c>
      <c r="E27" s="5" t="inlineStr">
        <is>
          <t>Port Klang</t>
        </is>
      </c>
      <c r="F27" s="7" t="n"/>
      <c r="G27" s="7" t="n"/>
      <c r="H27" s="7" t="n"/>
      <c r="I27" s="5">
        <f>IF(OR(H27="",H22=""),"",IF(H27&gt;H22,"📈 +"&amp;(H27-H22),IF(H27&lt;H22,"📉 -"&amp;(H22-H27),"➡️ 平")))</f>
        <v/>
      </c>
      <c r="J27" s="9" t="n"/>
    </row>
    <row r="28">
      <c r="A28" s="5" t="inlineStr">
        <is>
          <t>2026-04-29</t>
        </is>
      </c>
      <c r="B28" s="6" t="n"/>
      <c r="C28" s="5" t="inlineStr">
        <is>
          <t>Shenzhen→PKL</t>
        </is>
      </c>
      <c r="D28" s="5" t="inlineStr">
        <is>
          <t>Shenzhen</t>
        </is>
      </c>
      <c r="E28" s="5" t="inlineStr">
        <is>
          <t>Port Klang</t>
        </is>
      </c>
      <c r="F28" s="7" t="n"/>
      <c r="G28" s="7" t="n"/>
      <c r="H28" s="7" t="n"/>
      <c r="I28" s="5">
        <f>IF(OR(H28="",H23=""),"",IF(H28&gt;H23,"📈 +"&amp;(H28-H23),IF(H28&lt;H23,"📉 -"&amp;(H23-H28),"➡️ 平")))</f>
        <v/>
      </c>
      <c r="J28" s="9" t="n"/>
    </row>
    <row r="29">
      <c r="A29" s="5" t="inlineStr">
        <is>
          <t>2026-04-29</t>
        </is>
      </c>
      <c r="B29" s="6" t="n"/>
      <c r="C29" s="5" t="inlineStr">
        <is>
          <t>Shanghai→Kuching</t>
        </is>
      </c>
      <c r="D29" s="5" t="inlineStr">
        <is>
          <t>Shanghai</t>
        </is>
      </c>
      <c r="E29" s="5" t="inlineStr">
        <is>
          <t>Kuching</t>
        </is>
      </c>
      <c r="F29" s="7" t="n"/>
      <c r="G29" s="7" t="n"/>
      <c r="H29" s="7" t="n"/>
      <c r="I29" s="5">
        <f>IF(OR(H29="",H24=""),"",IF(H29&gt;H24,"📈 +"&amp;(H29-H24),IF(H29&lt;H24,"📉 -"&amp;(H24-H29),"➡️ 平")))</f>
        <v/>
      </c>
      <c r="J29" s="9" t="n"/>
    </row>
    <row r="30">
      <c r="A30" s="5" t="inlineStr">
        <is>
          <t>2026-04-29</t>
        </is>
      </c>
      <c r="B30" s="6" t="n"/>
      <c r="C30" s="5" t="inlineStr">
        <is>
          <t>Shenzhen→KK</t>
        </is>
      </c>
      <c r="D30" s="5" t="inlineStr">
        <is>
          <t>Shenzhen</t>
        </is>
      </c>
      <c r="E30" s="5" t="inlineStr">
        <is>
          <t>Kota Kinabalu</t>
        </is>
      </c>
      <c r="F30" s="7" t="n"/>
      <c r="G30" s="7" t="n"/>
      <c r="H30" s="7" t="n"/>
      <c r="I30" s="5">
        <f>IF(OR(H30="",H25=""),"",IF(H30&gt;H25,"📈 +"&amp;(H30-H25),IF(H30&lt;H25,"📉 -"&amp;(H25-H30),"➡️ 平")))</f>
        <v/>
      </c>
      <c r="J30" s="9" t="n"/>
    </row>
    <row r="31">
      <c r="A31" s="5" t="inlineStr">
        <is>
          <t>2026-05-06</t>
        </is>
      </c>
      <c r="B31" s="6" t="n"/>
      <c r="C31" s="5" t="inlineStr">
        <is>
          <t>Shanghai→PKL</t>
        </is>
      </c>
      <c r="D31" s="5" t="inlineStr">
        <is>
          <t>Shanghai</t>
        </is>
      </c>
      <c r="E31" s="5" t="inlineStr">
        <is>
          <t>Port Klang</t>
        </is>
      </c>
      <c r="F31" s="7" t="n"/>
      <c r="G31" s="7" t="n"/>
      <c r="H31" s="7" t="n"/>
      <c r="I31" s="5">
        <f>IF(OR(H31="",H26=""),"",IF(H31&gt;H26,"📈 +"&amp;(H31-H26),IF(H31&lt;H26,"📉 -"&amp;(H26-H31),"➡️ 平")))</f>
        <v/>
      </c>
      <c r="J31" s="9" t="n"/>
    </row>
    <row r="32">
      <c r="A32" s="5" t="inlineStr">
        <is>
          <t>2026-05-06</t>
        </is>
      </c>
      <c r="B32" s="6" t="n"/>
      <c r="C32" s="5" t="inlineStr">
        <is>
          <t>Ningbo→PKL</t>
        </is>
      </c>
      <c r="D32" s="5" t="inlineStr">
        <is>
          <t>Ningbo</t>
        </is>
      </c>
      <c r="E32" s="5" t="inlineStr">
        <is>
          <t>Port Klang</t>
        </is>
      </c>
      <c r="F32" s="7" t="n"/>
      <c r="G32" s="7" t="n"/>
      <c r="H32" s="7" t="n"/>
      <c r="I32" s="5">
        <f>IF(OR(H32="",H27=""),"",IF(H32&gt;H27,"📈 +"&amp;(H32-H27),IF(H32&lt;H27,"📉 -"&amp;(H27-H32),"➡️ 平")))</f>
        <v/>
      </c>
      <c r="J32" s="9" t="n"/>
    </row>
    <row r="33">
      <c r="A33" s="5" t="inlineStr">
        <is>
          <t>2026-05-06</t>
        </is>
      </c>
      <c r="B33" s="6" t="n"/>
      <c r="C33" s="5" t="inlineStr">
        <is>
          <t>Shenzhen→PKL</t>
        </is>
      </c>
      <c r="D33" s="5" t="inlineStr">
        <is>
          <t>Shenzhen</t>
        </is>
      </c>
      <c r="E33" s="5" t="inlineStr">
        <is>
          <t>Port Klang</t>
        </is>
      </c>
      <c r="F33" s="7" t="n"/>
      <c r="G33" s="7" t="n"/>
      <c r="H33" s="7" t="n"/>
      <c r="I33" s="5">
        <f>IF(OR(H33="",H28=""),"",IF(H33&gt;H28,"📈 +"&amp;(H33-H28),IF(H33&lt;H28,"📉 -"&amp;(H28-H33),"➡️ 平")))</f>
        <v/>
      </c>
      <c r="J33" s="9" t="n"/>
    </row>
    <row r="34">
      <c r="A34" s="5" t="inlineStr">
        <is>
          <t>2026-05-06</t>
        </is>
      </c>
      <c r="B34" s="6" t="n"/>
      <c r="C34" s="5" t="inlineStr">
        <is>
          <t>Shanghai→Kuching</t>
        </is>
      </c>
      <c r="D34" s="5" t="inlineStr">
        <is>
          <t>Shanghai</t>
        </is>
      </c>
      <c r="E34" s="5" t="inlineStr">
        <is>
          <t>Kuching</t>
        </is>
      </c>
      <c r="F34" s="7" t="n"/>
      <c r="G34" s="7" t="n"/>
      <c r="H34" s="7" t="n"/>
      <c r="I34" s="5">
        <f>IF(OR(H34="",H29=""),"",IF(H34&gt;H29,"📈 +"&amp;(H34-H29),IF(H34&lt;H29,"📉 -"&amp;(H29-H34),"➡️ 平")))</f>
        <v/>
      </c>
      <c r="J34" s="9" t="n"/>
    </row>
    <row r="35">
      <c r="A35" s="5" t="inlineStr">
        <is>
          <t>2026-05-06</t>
        </is>
      </c>
      <c r="B35" s="6" t="n"/>
      <c r="C35" s="5" t="inlineStr">
        <is>
          <t>Shenzhen→KK</t>
        </is>
      </c>
      <c r="D35" s="5" t="inlineStr">
        <is>
          <t>Shenzhen</t>
        </is>
      </c>
      <c r="E35" s="5" t="inlineStr">
        <is>
          <t>Kota Kinabalu</t>
        </is>
      </c>
      <c r="F35" s="7" t="n"/>
      <c r="G35" s="7" t="n"/>
      <c r="H35" s="7" t="n"/>
      <c r="I35" s="5">
        <f>IF(OR(H35="",H30=""),"",IF(H35&gt;H30,"📈 +"&amp;(H35-H30),IF(H35&lt;H30,"📉 -"&amp;(H30-H35),"➡️ 平")))</f>
        <v/>
      </c>
      <c r="J35" s="9" t="n"/>
    </row>
    <row r="36">
      <c r="A36" s="5" t="inlineStr">
        <is>
          <t>2026-05-13</t>
        </is>
      </c>
      <c r="B36" s="6" t="n"/>
      <c r="C36" s="5" t="inlineStr">
        <is>
          <t>Shanghai→PKL</t>
        </is>
      </c>
      <c r="D36" s="5" t="inlineStr">
        <is>
          <t>Shanghai</t>
        </is>
      </c>
      <c r="E36" s="5" t="inlineStr">
        <is>
          <t>Port Klang</t>
        </is>
      </c>
      <c r="F36" s="7" t="n"/>
      <c r="G36" s="7" t="n"/>
      <c r="H36" s="7" t="n"/>
      <c r="I36" s="5">
        <f>IF(OR(H36="",H31=""),"",IF(H36&gt;H31,"📈 +"&amp;(H36-H31),IF(H36&lt;H31,"📉 -"&amp;(H31-H36),"➡️ 平")))</f>
        <v/>
      </c>
      <c r="J36" s="9" t="n"/>
    </row>
    <row r="37">
      <c r="A37" s="5" t="inlineStr">
        <is>
          <t>2026-05-13</t>
        </is>
      </c>
      <c r="B37" s="6" t="n"/>
      <c r="C37" s="5" t="inlineStr">
        <is>
          <t>Ningbo→PKL</t>
        </is>
      </c>
      <c r="D37" s="5" t="inlineStr">
        <is>
          <t>Ningbo</t>
        </is>
      </c>
      <c r="E37" s="5" t="inlineStr">
        <is>
          <t>Port Klang</t>
        </is>
      </c>
      <c r="F37" s="7" t="n"/>
      <c r="G37" s="7" t="n"/>
      <c r="H37" s="7" t="n"/>
      <c r="I37" s="5">
        <f>IF(OR(H37="",H32=""),"",IF(H37&gt;H32,"📈 +"&amp;(H37-H32),IF(H37&lt;H32,"📉 -"&amp;(H32-H37),"➡️ 平")))</f>
        <v/>
      </c>
      <c r="J37" s="9" t="n"/>
    </row>
    <row r="38">
      <c r="A38" s="5" t="inlineStr">
        <is>
          <t>2026-05-13</t>
        </is>
      </c>
      <c r="B38" s="6" t="n"/>
      <c r="C38" s="5" t="inlineStr">
        <is>
          <t>Shenzhen→PKL</t>
        </is>
      </c>
      <c r="D38" s="5" t="inlineStr">
        <is>
          <t>Shenzhen</t>
        </is>
      </c>
      <c r="E38" s="5" t="inlineStr">
        <is>
          <t>Port Klang</t>
        </is>
      </c>
      <c r="F38" s="7" t="n"/>
      <c r="G38" s="7" t="n"/>
      <c r="H38" s="7" t="n"/>
      <c r="I38" s="5">
        <f>IF(OR(H38="",H33=""),"",IF(H38&gt;H33,"📈 +"&amp;(H38-H33),IF(H38&lt;H33,"📉 -"&amp;(H33-H38),"➡️ 平")))</f>
        <v/>
      </c>
      <c r="J38" s="9" t="n"/>
    </row>
    <row r="39">
      <c r="A39" s="5" t="inlineStr">
        <is>
          <t>2026-05-13</t>
        </is>
      </c>
      <c r="B39" s="6" t="n"/>
      <c r="C39" s="5" t="inlineStr">
        <is>
          <t>Shanghai→Kuching</t>
        </is>
      </c>
      <c r="D39" s="5" t="inlineStr">
        <is>
          <t>Shanghai</t>
        </is>
      </c>
      <c r="E39" s="5" t="inlineStr">
        <is>
          <t>Kuching</t>
        </is>
      </c>
      <c r="F39" s="7" t="n"/>
      <c r="G39" s="7" t="n"/>
      <c r="H39" s="7" t="n"/>
      <c r="I39" s="5">
        <f>IF(OR(H39="",H34=""),"",IF(H39&gt;H34,"📈 +"&amp;(H39-H34),IF(H39&lt;H34,"📉 -"&amp;(H34-H39),"➡️ 平")))</f>
        <v/>
      </c>
      <c r="J39" s="9" t="n"/>
    </row>
    <row r="40">
      <c r="A40" s="5" t="inlineStr">
        <is>
          <t>2026-05-13</t>
        </is>
      </c>
      <c r="B40" s="6" t="n"/>
      <c r="C40" s="5" t="inlineStr">
        <is>
          <t>Shenzhen→KK</t>
        </is>
      </c>
      <c r="D40" s="5" t="inlineStr">
        <is>
          <t>Shenzhen</t>
        </is>
      </c>
      <c r="E40" s="5" t="inlineStr">
        <is>
          <t>Kota Kinabalu</t>
        </is>
      </c>
      <c r="F40" s="7" t="n"/>
      <c r="G40" s="7" t="n"/>
      <c r="H40" s="7" t="n"/>
      <c r="I40" s="5">
        <f>IF(OR(H40="",H35=""),"",IF(H40&gt;H35,"📈 +"&amp;(H40-H35),IF(H40&lt;H35,"📉 -"&amp;(H35-H40),"➡️ 平")))</f>
        <v/>
      </c>
      <c r="J40" s="9" t="n"/>
    </row>
    <row r="41">
      <c r="A41" s="5" t="inlineStr">
        <is>
          <t>2026-05-20</t>
        </is>
      </c>
      <c r="B41" s="6" t="n"/>
      <c r="C41" s="5" t="inlineStr">
        <is>
          <t>Shanghai→PKL</t>
        </is>
      </c>
      <c r="D41" s="5" t="inlineStr">
        <is>
          <t>Shanghai</t>
        </is>
      </c>
      <c r="E41" s="5" t="inlineStr">
        <is>
          <t>Port Klang</t>
        </is>
      </c>
      <c r="F41" s="7" t="n"/>
      <c r="G41" s="7" t="n"/>
      <c r="H41" s="7" t="n"/>
      <c r="I41" s="5">
        <f>IF(OR(H41="",H36=""),"",IF(H41&gt;H36,"📈 +"&amp;(H41-H36),IF(H41&lt;H36,"📉 -"&amp;(H36-H41),"➡️ 平")))</f>
        <v/>
      </c>
      <c r="J41" s="9" t="n"/>
    </row>
    <row r="42">
      <c r="A42" s="5" t="inlineStr">
        <is>
          <t>2026-05-20</t>
        </is>
      </c>
      <c r="B42" s="6" t="n"/>
      <c r="C42" s="5" t="inlineStr">
        <is>
          <t>Ningbo→PKL</t>
        </is>
      </c>
      <c r="D42" s="5" t="inlineStr">
        <is>
          <t>Ningbo</t>
        </is>
      </c>
      <c r="E42" s="5" t="inlineStr">
        <is>
          <t>Port Klang</t>
        </is>
      </c>
      <c r="F42" s="7" t="n"/>
      <c r="G42" s="7" t="n"/>
      <c r="H42" s="7" t="n"/>
      <c r="I42" s="5">
        <f>IF(OR(H42="",H37=""),"",IF(H42&gt;H37,"📈 +"&amp;(H42-H37),IF(H42&lt;H37,"📉 -"&amp;(H37-H42),"➡️ 平")))</f>
        <v/>
      </c>
      <c r="J42" s="9" t="n"/>
    </row>
    <row r="43">
      <c r="A43" s="5" t="inlineStr">
        <is>
          <t>2026-05-20</t>
        </is>
      </c>
      <c r="B43" s="6" t="n"/>
      <c r="C43" s="5" t="inlineStr">
        <is>
          <t>Shenzhen→PKL</t>
        </is>
      </c>
      <c r="D43" s="5" t="inlineStr">
        <is>
          <t>Shenzhen</t>
        </is>
      </c>
      <c r="E43" s="5" t="inlineStr">
        <is>
          <t>Port Klang</t>
        </is>
      </c>
      <c r="F43" s="7" t="n"/>
      <c r="G43" s="7" t="n"/>
      <c r="H43" s="7" t="n"/>
      <c r="I43" s="5">
        <f>IF(OR(H43="",H38=""),"",IF(H43&gt;H38,"📈 +"&amp;(H43-H38),IF(H43&lt;H38,"📉 -"&amp;(H38-H43),"➡️ 平")))</f>
        <v/>
      </c>
      <c r="J43" s="9" t="n"/>
    </row>
    <row r="44">
      <c r="A44" s="5" t="inlineStr">
        <is>
          <t>2026-05-20</t>
        </is>
      </c>
      <c r="B44" s="6" t="n"/>
      <c r="C44" s="5" t="inlineStr">
        <is>
          <t>Shanghai→Kuching</t>
        </is>
      </c>
      <c r="D44" s="5" t="inlineStr">
        <is>
          <t>Shanghai</t>
        </is>
      </c>
      <c r="E44" s="5" t="inlineStr">
        <is>
          <t>Kuching</t>
        </is>
      </c>
      <c r="F44" s="7" t="n"/>
      <c r="G44" s="7" t="n"/>
      <c r="H44" s="7" t="n"/>
      <c r="I44" s="5">
        <f>IF(OR(H44="",H39=""),"",IF(H44&gt;H39,"📈 +"&amp;(H44-H39),IF(H44&lt;H39,"📉 -"&amp;(H39-H44),"➡️ 平")))</f>
        <v/>
      </c>
      <c r="J44" s="9" t="n"/>
    </row>
    <row r="45">
      <c r="A45" s="5" t="inlineStr">
        <is>
          <t>2026-05-20</t>
        </is>
      </c>
      <c r="B45" s="6" t="n"/>
      <c r="C45" s="5" t="inlineStr">
        <is>
          <t>Shenzhen→KK</t>
        </is>
      </c>
      <c r="D45" s="5" t="inlineStr">
        <is>
          <t>Shenzhen</t>
        </is>
      </c>
      <c r="E45" s="5" t="inlineStr">
        <is>
          <t>Kota Kinabalu</t>
        </is>
      </c>
      <c r="F45" s="7" t="n"/>
      <c r="G45" s="7" t="n"/>
      <c r="H45" s="7" t="n"/>
      <c r="I45" s="5">
        <f>IF(OR(H45="",H40=""),"",IF(H45&gt;H40,"📈 +"&amp;(H45-H40),IF(H45&lt;H40,"📉 -"&amp;(H40-H45),"➡️ 平")))</f>
        <v/>
      </c>
      <c r="J45" s="9" t="n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16" customWidth="1" min="5" max="5"/>
    <col width="12" customWidth="1" min="6" max="6"/>
    <col width="14" customWidth="1" min="7" max="7"/>
    <col width="18" customWidth="1" min="8" max="8"/>
  </cols>
  <sheetData>
    <row r="1">
      <c r="A1" s="1" t="inlineStr">
        <is>
          <t>✈️ 空运运价记录 Air Freight Rate Log</t>
        </is>
      </c>
    </row>
    <row r="3">
      <c r="A3" s="4" t="inlineStr">
        <is>
          <t>日期
Date</t>
        </is>
      </c>
      <c r="B3" s="4" t="inlineStr">
        <is>
          <t>供应商
Supplier</t>
        </is>
      </c>
      <c r="C3" s="4" t="inlineStr">
        <is>
          <t>Origin</t>
        </is>
      </c>
      <c r="D3" s="4" t="inlineStr">
        <is>
          <t>Dest</t>
        </is>
      </c>
      <c r="E3" s="4" t="inlineStr">
        <is>
          <t>费率
Rate (USD/kg)</t>
        </is>
      </c>
      <c r="F3" s="4" t="inlineStr">
        <is>
          <t>最低
Min (USD)</t>
        </is>
      </c>
      <c r="G3" s="4" t="inlineStr">
        <is>
          <t>变化
Change</t>
        </is>
      </c>
      <c r="H3" s="4" t="inlineStr">
        <is>
          <t>备注
Notes</t>
        </is>
      </c>
    </row>
    <row r="4">
      <c r="A4" s="5" t="inlineStr">
        <is>
          <t>2026-04-01</t>
        </is>
      </c>
      <c r="B4" s="6" t="n"/>
      <c r="C4" s="5" t="inlineStr">
        <is>
          <t>PVG</t>
        </is>
      </c>
      <c r="D4" s="5" t="inlineStr">
        <is>
          <t>KUL</t>
        </is>
      </c>
      <c r="E4" s="10" t="n"/>
      <c r="F4" s="10" t="n"/>
      <c r="G4" s="8" t="n"/>
      <c r="H4" s="9" t="n"/>
    </row>
    <row r="5">
      <c r="A5" s="5" t="inlineStr">
        <is>
          <t>2026-04-01</t>
        </is>
      </c>
      <c r="B5" s="6" t="n"/>
      <c r="C5" s="5" t="inlineStr">
        <is>
          <t>CAN</t>
        </is>
      </c>
      <c r="D5" s="5" t="inlineStr">
        <is>
          <t>KUL</t>
        </is>
      </c>
      <c r="E5" s="10" t="n"/>
      <c r="F5" s="10" t="n"/>
      <c r="G5" s="8" t="n"/>
      <c r="H5" s="9" t="n"/>
    </row>
    <row r="6">
      <c r="A6" s="5" t="inlineStr">
        <is>
          <t>2026-04-01</t>
        </is>
      </c>
      <c r="B6" s="6" t="n"/>
      <c r="C6" s="5" t="inlineStr">
        <is>
          <t>SZX</t>
        </is>
      </c>
      <c r="D6" s="5" t="inlineStr">
        <is>
          <t>KUL</t>
        </is>
      </c>
      <c r="E6" s="10" t="n"/>
      <c r="F6" s="10" t="n"/>
      <c r="G6" s="8" t="n"/>
      <c r="H6" s="9" t="n"/>
    </row>
    <row r="7">
      <c r="A7" s="5" t="inlineStr">
        <is>
          <t>2026-04-08</t>
        </is>
      </c>
      <c r="B7" s="6" t="n"/>
      <c r="C7" s="5" t="inlineStr">
        <is>
          <t>PVG</t>
        </is>
      </c>
      <c r="D7" s="5" t="inlineStr">
        <is>
          <t>KUL</t>
        </is>
      </c>
      <c r="E7" s="10" t="n"/>
      <c r="F7" s="10" t="n"/>
      <c r="G7" s="5">
        <f>IF(OR(E7="",E4=""),"",IF(E7&gt;E4,"📈 +"&amp;(E7-E4),IF(E7&lt;E4,"📉 -"&amp;(E4-E7),"➡️ 平")))</f>
        <v/>
      </c>
      <c r="H7" s="9" t="n"/>
    </row>
    <row r="8">
      <c r="A8" s="5" t="inlineStr">
        <is>
          <t>2026-04-08</t>
        </is>
      </c>
      <c r="B8" s="6" t="n"/>
      <c r="C8" s="5" t="inlineStr">
        <is>
          <t>CAN</t>
        </is>
      </c>
      <c r="D8" s="5" t="inlineStr">
        <is>
          <t>KUL</t>
        </is>
      </c>
      <c r="E8" s="10" t="n"/>
      <c r="F8" s="10" t="n"/>
      <c r="G8" s="5">
        <f>IF(OR(E8="",E5=""),"",IF(E8&gt;E5,"📈 +"&amp;(E8-E5),IF(E8&lt;E5,"📉 -"&amp;(E5-E8),"➡️ 平")))</f>
        <v/>
      </c>
      <c r="H8" s="9" t="n"/>
    </row>
    <row r="9">
      <c r="A9" s="5" t="inlineStr">
        <is>
          <t>2026-04-08</t>
        </is>
      </c>
      <c r="B9" s="6" t="n"/>
      <c r="C9" s="5" t="inlineStr">
        <is>
          <t>SZX</t>
        </is>
      </c>
      <c r="D9" s="5" t="inlineStr">
        <is>
          <t>KUL</t>
        </is>
      </c>
      <c r="E9" s="10" t="n"/>
      <c r="F9" s="10" t="n"/>
      <c r="G9" s="5">
        <f>IF(OR(E9="",E6=""),"",IF(E9&gt;E6,"📈 +"&amp;(E9-E6),IF(E9&lt;E6,"📉 -"&amp;(E6-E9),"➡️ 平")))</f>
        <v/>
      </c>
      <c r="H9" s="9" t="n"/>
    </row>
    <row r="10">
      <c r="A10" s="5" t="inlineStr">
        <is>
          <t>2026-04-15</t>
        </is>
      </c>
      <c r="B10" s="6" t="n"/>
      <c r="C10" s="5" t="inlineStr">
        <is>
          <t>PVG</t>
        </is>
      </c>
      <c r="D10" s="5" t="inlineStr">
        <is>
          <t>KUL</t>
        </is>
      </c>
      <c r="E10" s="10" t="n"/>
      <c r="F10" s="10" t="n"/>
      <c r="G10" s="5">
        <f>IF(OR(E10="",E7=""),"",IF(E10&gt;E7,"📈 +"&amp;(E10-E7),IF(E10&lt;E7,"📉 -"&amp;(E7-E10),"➡️ 平")))</f>
        <v/>
      </c>
      <c r="H10" s="9" t="n"/>
    </row>
    <row r="11">
      <c r="A11" s="5" t="inlineStr">
        <is>
          <t>2026-04-15</t>
        </is>
      </c>
      <c r="B11" s="6" t="n"/>
      <c r="C11" s="5" t="inlineStr">
        <is>
          <t>CAN</t>
        </is>
      </c>
      <c r="D11" s="5" t="inlineStr">
        <is>
          <t>KUL</t>
        </is>
      </c>
      <c r="E11" s="10" t="n"/>
      <c r="F11" s="10" t="n"/>
      <c r="G11" s="5">
        <f>IF(OR(E11="",E8=""),"",IF(E11&gt;E8,"📈 +"&amp;(E11-E8),IF(E11&lt;E8,"📉 -"&amp;(E8-E11),"➡️ 平")))</f>
        <v/>
      </c>
      <c r="H11" s="9" t="n"/>
    </row>
    <row r="12">
      <c r="A12" s="5" t="inlineStr">
        <is>
          <t>2026-04-15</t>
        </is>
      </c>
      <c r="B12" s="6" t="n"/>
      <c r="C12" s="5" t="inlineStr">
        <is>
          <t>SZX</t>
        </is>
      </c>
      <c r="D12" s="5" t="inlineStr">
        <is>
          <t>KUL</t>
        </is>
      </c>
      <c r="E12" s="10" t="n"/>
      <c r="F12" s="10" t="n"/>
      <c r="G12" s="5">
        <f>IF(OR(E12="",E9=""),"",IF(E12&gt;E9,"📈 +"&amp;(E12-E9),IF(E12&lt;E9,"📉 -"&amp;(E9-E12),"➡️ 平")))</f>
        <v/>
      </c>
      <c r="H12" s="9" t="n"/>
    </row>
    <row r="13">
      <c r="A13" s="5" t="inlineStr">
        <is>
          <t>2026-04-22</t>
        </is>
      </c>
      <c r="B13" s="6" t="n"/>
      <c r="C13" s="5" t="inlineStr">
        <is>
          <t>PVG</t>
        </is>
      </c>
      <c r="D13" s="5" t="inlineStr">
        <is>
          <t>KUL</t>
        </is>
      </c>
      <c r="E13" s="10" t="n"/>
      <c r="F13" s="10" t="n"/>
      <c r="G13" s="5">
        <f>IF(OR(E13="",E10=""),"",IF(E13&gt;E10,"📈 +"&amp;(E13-E10),IF(E13&lt;E10,"📉 -"&amp;(E10-E13),"➡️ 平")))</f>
        <v/>
      </c>
      <c r="H13" s="9" t="n"/>
    </row>
    <row r="14">
      <c r="A14" s="5" t="inlineStr">
        <is>
          <t>2026-04-22</t>
        </is>
      </c>
      <c r="B14" s="6" t="n"/>
      <c r="C14" s="5" t="inlineStr">
        <is>
          <t>CAN</t>
        </is>
      </c>
      <c r="D14" s="5" t="inlineStr">
        <is>
          <t>KUL</t>
        </is>
      </c>
      <c r="E14" s="10" t="n"/>
      <c r="F14" s="10" t="n"/>
      <c r="G14" s="5">
        <f>IF(OR(E14="",E11=""),"",IF(E14&gt;E11,"📈 +"&amp;(E14-E11),IF(E14&lt;E11,"📉 -"&amp;(E11-E14),"➡️ 平")))</f>
        <v/>
      </c>
      <c r="H14" s="9" t="n"/>
    </row>
    <row r="15">
      <c r="A15" s="5" t="inlineStr">
        <is>
          <t>2026-04-22</t>
        </is>
      </c>
      <c r="B15" s="6" t="n"/>
      <c r="C15" s="5" t="inlineStr">
        <is>
          <t>SZX</t>
        </is>
      </c>
      <c r="D15" s="5" t="inlineStr">
        <is>
          <t>KUL</t>
        </is>
      </c>
      <c r="E15" s="10" t="n"/>
      <c r="F15" s="10" t="n"/>
      <c r="G15" s="5">
        <f>IF(OR(E15="",E12=""),"",IF(E15&gt;E12,"📈 +"&amp;(E15-E12),IF(E15&lt;E12,"📉 -"&amp;(E12-E15),"➡️ 平")))</f>
        <v/>
      </c>
      <c r="H15" s="9" t="n"/>
    </row>
    <row r="16">
      <c r="A16" s="5" t="inlineStr">
        <is>
          <t>2026-04-29</t>
        </is>
      </c>
      <c r="B16" s="6" t="n"/>
      <c r="C16" s="5" t="inlineStr">
        <is>
          <t>PVG</t>
        </is>
      </c>
      <c r="D16" s="5" t="inlineStr">
        <is>
          <t>KUL</t>
        </is>
      </c>
      <c r="E16" s="10" t="n"/>
      <c r="F16" s="10" t="n"/>
      <c r="G16" s="5">
        <f>IF(OR(E16="",E13=""),"",IF(E16&gt;E13,"📈 +"&amp;(E16-E13),IF(E16&lt;E13,"📉 -"&amp;(E13-E16),"➡️ 平")))</f>
        <v/>
      </c>
      <c r="H16" s="9" t="n"/>
    </row>
    <row r="17">
      <c r="A17" s="5" t="inlineStr">
        <is>
          <t>2026-04-29</t>
        </is>
      </c>
      <c r="B17" s="6" t="n"/>
      <c r="C17" s="5" t="inlineStr">
        <is>
          <t>CAN</t>
        </is>
      </c>
      <c r="D17" s="5" t="inlineStr">
        <is>
          <t>KUL</t>
        </is>
      </c>
      <c r="E17" s="10" t="n"/>
      <c r="F17" s="10" t="n"/>
      <c r="G17" s="5">
        <f>IF(OR(E17="",E14=""),"",IF(E17&gt;E14,"📈 +"&amp;(E17-E14),IF(E17&lt;E14,"📉 -"&amp;(E14-E17),"➡️ 平")))</f>
        <v/>
      </c>
      <c r="H17" s="9" t="n"/>
    </row>
    <row r="18">
      <c r="A18" s="5" t="inlineStr">
        <is>
          <t>2026-04-29</t>
        </is>
      </c>
      <c r="B18" s="6" t="n"/>
      <c r="C18" s="5" t="inlineStr">
        <is>
          <t>SZX</t>
        </is>
      </c>
      <c r="D18" s="5" t="inlineStr">
        <is>
          <t>KUL</t>
        </is>
      </c>
      <c r="E18" s="10" t="n"/>
      <c r="F18" s="10" t="n"/>
      <c r="G18" s="5">
        <f>IF(OR(E18="",E15=""),"",IF(E18&gt;E15,"📈 +"&amp;(E18-E15),IF(E18&lt;E15,"📉 -"&amp;(E15-E18),"➡️ 平")))</f>
        <v/>
      </c>
      <c r="H18" s="9" t="n"/>
    </row>
    <row r="19">
      <c r="A19" s="5" t="inlineStr">
        <is>
          <t>2026-05-06</t>
        </is>
      </c>
      <c r="B19" s="6" t="n"/>
      <c r="C19" s="5" t="inlineStr">
        <is>
          <t>PVG</t>
        </is>
      </c>
      <c r="D19" s="5" t="inlineStr">
        <is>
          <t>KUL</t>
        </is>
      </c>
      <c r="E19" s="10" t="n"/>
      <c r="F19" s="10" t="n"/>
      <c r="G19" s="5">
        <f>IF(OR(E19="",E16=""),"",IF(E19&gt;E16,"📈 +"&amp;(E19-E16),IF(E19&lt;E16,"📉 -"&amp;(E16-E19),"➡️ 平")))</f>
        <v/>
      </c>
      <c r="H19" s="9" t="n"/>
    </row>
    <row r="20">
      <c r="A20" s="5" t="inlineStr">
        <is>
          <t>2026-05-06</t>
        </is>
      </c>
      <c r="B20" s="6" t="n"/>
      <c r="C20" s="5" t="inlineStr">
        <is>
          <t>CAN</t>
        </is>
      </c>
      <c r="D20" s="5" t="inlineStr">
        <is>
          <t>KUL</t>
        </is>
      </c>
      <c r="E20" s="10" t="n"/>
      <c r="F20" s="10" t="n"/>
      <c r="G20" s="5">
        <f>IF(OR(E20="",E17=""),"",IF(E20&gt;E17,"📈 +"&amp;(E20-E17),IF(E20&lt;E17,"📉 -"&amp;(E17-E20),"➡️ 平")))</f>
        <v/>
      </c>
      <c r="H20" s="9" t="n"/>
    </row>
    <row r="21">
      <c r="A21" s="5" t="inlineStr">
        <is>
          <t>2026-05-06</t>
        </is>
      </c>
      <c r="B21" s="6" t="n"/>
      <c r="C21" s="5" t="inlineStr">
        <is>
          <t>SZX</t>
        </is>
      </c>
      <c r="D21" s="5" t="inlineStr">
        <is>
          <t>KUL</t>
        </is>
      </c>
      <c r="E21" s="10" t="n"/>
      <c r="F21" s="10" t="n"/>
      <c r="G21" s="5">
        <f>IF(OR(E21="",E18=""),"",IF(E21&gt;E18,"📈 +"&amp;(E21-E18),IF(E21&lt;E18,"📉 -"&amp;(E18-E21),"➡️ 平")))</f>
        <v/>
      </c>
      <c r="H21" s="9" t="n"/>
    </row>
    <row r="22">
      <c r="A22" s="5" t="inlineStr">
        <is>
          <t>2026-05-13</t>
        </is>
      </c>
      <c r="B22" s="6" t="n"/>
      <c r="C22" s="5" t="inlineStr">
        <is>
          <t>PVG</t>
        </is>
      </c>
      <c r="D22" s="5" t="inlineStr">
        <is>
          <t>KUL</t>
        </is>
      </c>
      <c r="E22" s="10" t="n"/>
      <c r="F22" s="10" t="n"/>
      <c r="G22" s="5">
        <f>IF(OR(E22="",E19=""),"",IF(E22&gt;E19,"📈 +"&amp;(E22-E19),IF(E22&lt;E19,"📉 -"&amp;(E19-E22),"➡️ 平")))</f>
        <v/>
      </c>
      <c r="H22" s="9" t="n"/>
    </row>
    <row r="23">
      <c r="A23" s="5" t="inlineStr">
        <is>
          <t>2026-05-13</t>
        </is>
      </c>
      <c r="B23" s="6" t="n"/>
      <c r="C23" s="5" t="inlineStr">
        <is>
          <t>CAN</t>
        </is>
      </c>
      <c r="D23" s="5" t="inlineStr">
        <is>
          <t>KUL</t>
        </is>
      </c>
      <c r="E23" s="10" t="n"/>
      <c r="F23" s="10" t="n"/>
      <c r="G23" s="5">
        <f>IF(OR(E23="",E20=""),"",IF(E23&gt;E20,"📈 +"&amp;(E23-E20),IF(E23&lt;E20,"📉 -"&amp;(E20-E23),"➡️ 平")))</f>
        <v/>
      </c>
      <c r="H23" s="9" t="n"/>
    </row>
    <row r="24">
      <c r="A24" s="5" t="inlineStr">
        <is>
          <t>2026-05-13</t>
        </is>
      </c>
      <c r="B24" s="6" t="n"/>
      <c r="C24" s="5" t="inlineStr">
        <is>
          <t>SZX</t>
        </is>
      </c>
      <c r="D24" s="5" t="inlineStr">
        <is>
          <t>KUL</t>
        </is>
      </c>
      <c r="E24" s="10" t="n"/>
      <c r="F24" s="10" t="n"/>
      <c r="G24" s="5">
        <f>IF(OR(E24="",E21=""),"",IF(E24&gt;E21,"📈 +"&amp;(E24-E21),IF(E24&lt;E21,"📉 -"&amp;(E21-E24),"➡️ 平")))</f>
        <v/>
      </c>
      <c r="H24" s="9" t="n"/>
    </row>
    <row r="25">
      <c r="A25" s="5" t="inlineStr">
        <is>
          <t>2026-05-20</t>
        </is>
      </c>
      <c r="B25" s="6" t="n"/>
      <c r="C25" s="5" t="inlineStr">
        <is>
          <t>PVG</t>
        </is>
      </c>
      <c r="D25" s="5" t="inlineStr">
        <is>
          <t>KUL</t>
        </is>
      </c>
      <c r="E25" s="10" t="n"/>
      <c r="F25" s="10" t="n"/>
      <c r="G25" s="5">
        <f>IF(OR(E25="",E22=""),"",IF(E25&gt;E22,"📈 +"&amp;(E25-E22),IF(E25&lt;E22,"📉 -"&amp;(E22-E25),"➡️ 平")))</f>
        <v/>
      </c>
      <c r="H25" s="9" t="n"/>
    </row>
    <row r="26">
      <c r="A26" s="5" t="inlineStr">
        <is>
          <t>2026-05-20</t>
        </is>
      </c>
      <c r="B26" s="6" t="n"/>
      <c r="C26" s="5" t="inlineStr">
        <is>
          <t>CAN</t>
        </is>
      </c>
      <c r="D26" s="5" t="inlineStr">
        <is>
          <t>KUL</t>
        </is>
      </c>
      <c r="E26" s="10" t="n"/>
      <c r="F26" s="10" t="n"/>
      <c r="G26" s="5">
        <f>IF(OR(E26="",E23=""),"",IF(E26&gt;E23,"📈 +"&amp;(E26-E23),IF(E26&lt;E23,"📉 -"&amp;(E23-E26),"➡️ 平")))</f>
        <v/>
      </c>
      <c r="H26" s="9" t="n"/>
    </row>
    <row r="27">
      <c r="A27" s="5" t="inlineStr">
        <is>
          <t>2026-05-20</t>
        </is>
      </c>
      <c r="B27" s="6" t="n"/>
      <c r="C27" s="5" t="inlineStr">
        <is>
          <t>SZX</t>
        </is>
      </c>
      <c r="D27" s="5" t="inlineStr">
        <is>
          <t>KUL</t>
        </is>
      </c>
      <c r="E27" s="10" t="n"/>
      <c r="F27" s="10" t="n"/>
      <c r="G27" s="5">
        <f>IF(OR(E27="",E24=""),"",IF(E27&gt;E24,"📈 +"&amp;(E27-E24),IF(E27&lt;E24,"📉 -"&amp;(E24-E27),"➡️ 平")))</f>
        <v/>
      </c>
      <c r="H27" s="9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📊 运价趋势看板 Rate Trend Dashboard</t>
        </is>
      </c>
    </row>
    <row r="3">
      <c r="A3" s="3" t="inlineStr">
        <is>
          <t>🚢 海运 40HQ 最新价 &amp; 变化</t>
        </is>
      </c>
    </row>
    <row r="4">
      <c r="A4" s="4" t="inlineStr">
        <is>
          <t>航线
Route</t>
        </is>
      </c>
      <c r="B4" s="4" t="inlineStr">
        <is>
          <t>最新价
Latest</t>
        </is>
      </c>
      <c r="C4" s="4" t="inlineStr">
        <is>
          <t>上周价
Last Week</t>
        </is>
      </c>
      <c r="D4" s="4" t="inlineStr">
        <is>
          <t>变化
Change</t>
        </is>
      </c>
      <c r="E4" s="4" t="inlineStr">
        <is>
          <t>月最低
Month Low</t>
        </is>
      </c>
      <c r="F4" s="4" t="inlineStr">
        <is>
          <t>月最高
Month High</t>
        </is>
      </c>
    </row>
    <row r="5">
      <c r="A5" s="11" t="inlineStr">
        <is>
          <t>Shanghai→PKL</t>
        </is>
      </c>
      <c r="B5" s="7" t="n"/>
      <c r="C5" s="7" t="n"/>
      <c r="D5" s="7" t="n"/>
      <c r="E5" s="7" t="n"/>
      <c r="F5" s="7" t="n"/>
    </row>
    <row r="6">
      <c r="A6" s="11" t="inlineStr">
        <is>
          <t>Ningbo→PKL</t>
        </is>
      </c>
      <c r="B6" s="7" t="n"/>
      <c r="C6" s="7" t="n"/>
      <c r="D6" s="7" t="n"/>
      <c r="E6" s="7" t="n"/>
      <c r="F6" s="7" t="n"/>
    </row>
    <row r="7">
      <c r="A7" s="11" t="inlineStr">
        <is>
          <t>Shenzhen→PKL</t>
        </is>
      </c>
      <c r="B7" s="7" t="n"/>
      <c r="C7" s="7" t="n"/>
      <c r="D7" s="7" t="n"/>
      <c r="E7" s="7" t="n"/>
      <c r="F7" s="7" t="n"/>
    </row>
    <row r="8">
      <c r="A8" s="11" t="inlineStr">
        <is>
          <t>Shanghai→Kuching</t>
        </is>
      </c>
      <c r="B8" s="7" t="n"/>
      <c r="C8" s="7" t="n"/>
      <c r="D8" s="7" t="n"/>
      <c r="E8" s="7" t="n"/>
      <c r="F8" s="7" t="n"/>
    </row>
    <row r="9">
      <c r="A9" s="11" t="inlineStr">
        <is>
          <t>Shenzhen→KK</t>
        </is>
      </c>
      <c r="B9" s="7" t="n"/>
      <c r="C9" s="7" t="n"/>
      <c r="D9" s="7" t="n"/>
      <c r="E9" s="7" t="n"/>
      <c r="F9" s="7" t="n"/>
    </row>
    <row r="12">
      <c r="A12" s="3" t="inlineStr">
        <is>
          <t>💡 运价分析建议 Tips</t>
        </is>
      </c>
    </row>
    <row r="13">
      <c r="A13" s="12" t="inlineStr">
        <is>
          <t>1. 连续2周涨价 → 尽快锁定当前价格</t>
        </is>
      </c>
    </row>
    <row r="14">
      <c r="A14" s="12" t="inlineStr">
        <is>
          <t>2. 连续2周降价 → 可以观望等更低</t>
        </is>
      </c>
    </row>
    <row r="15">
      <c r="A15" s="12" t="inlineStr">
        <is>
          <t>3. 价格波动大 → 多找几家供应商比价</t>
        </is>
      </c>
    </row>
    <row r="16">
      <c r="A16" s="12" t="inlineStr">
        <is>
          <t>4. 旺季前（Q3-Q4）→ 提前囤仓位</t>
        </is>
      </c>
    </row>
    <row r="17">
      <c r="A17" s="12" t="inlineStr">
        <is>
          <t>5. 关注船公司公告和行业新闻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2026-04-05T13:43:04Z</dcterms:created>
  <dcterms:modified xsi:type="dcterms:W3CDTF">2026-04-05T13:43:04Z</dcterms:modified>
</cp:coreProperties>
</file>
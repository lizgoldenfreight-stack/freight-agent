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总览" sheetId="1" state="visible" r:id="rId1"/>
    <sheet name="报价记录" sheetId="2" state="visible" r:id="rId2"/>
    <sheet name="跟进提醒" sheetId="3" state="visible" r:id="rId3"/>
    <sheet name="统计看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6"/>
    </font>
    <font>
      <name val="Arial"/>
      <b val="1"/>
      <sz val="13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9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6" customWidth="1" min="4" max="4"/>
    <col width="14" customWidth="1" min="5" max="5"/>
    <col width="22" customWidth="1" min="6" max="6"/>
    <col width="12" customWidth="1" min="7" max="7"/>
    <col width="22" customWidth="1" min="8" max="8"/>
    <col width="14" customWidth="1" min="9" max="9"/>
    <col width="14" customWidth="1" min="10" max="10"/>
    <col width="14" customWidth="1" min="11" max="11"/>
    <col width="25" customWidth="1" min="12" max="12"/>
  </cols>
  <sheetData>
    <row r="1">
      <c r="A1" s="1" t="inlineStr">
        <is>
          <t>No.</t>
        </is>
      </c>
      <c r="B1" s="1" t="inlineStr">
        <is>
          <t>公司名
Company</t>
        </is>
      </c>
      <c r="C1" s="1" t="inlineStr">
        <is>
          <t>联系人
Contact</t>
        </is>
      </c>
      <c r="D1" s="1" t="inlineStr">
        <is>
          <t>电话
Phone</t>
        </is>
      </c>
      <c r="E1" s="1" t="inlineStr">
        <is>
          <t>微信
WeChat</t>
        </is>
      </c>
      <c r="F1" s="1" t="inlineStr">
        <is>
          <t>邮箱
Email</t>
        </is>
      </c>
      <c r="G1" s="1" t="inlineStr">
        <is>
          <t>客户来源
Source</t>
        </is>
      </c>
      <c r="H1" s="1" t="inlineStr">
        <is>
          <t>主要需求
Main Need</t>
        </is>
      </c>
      <c r="I1" s="1" t="inlineStr">
        <is>
          <t>客户状态
Status</t>
        </is>
      </c>
      <c r="J1" s="1" t="inlineStr">
        <is>
          <t>上次联系
Last Contact</t>
        </is>
      </c>
      <c r="K1" s="1" t="inlineStr">
        <is>
          <t>下次跟进
Next Follow-up</t>
        </is>
      </c>
      <c r="L1" s="1" t="inlineStr">
        <is>
          <t>备注
Notes</t>
        </is>
      </c>
    </row>
    <row r="2">
      <c r="A2" s="2" t="n">
        <v>1</v>
      </c>
      <c r="B2" s="2" t="inlineStr">
        <is>
          <t>ABC Trading Sdn Bhd</t>
        </is>
      </c>
      <c r="C2" s="2" t="inlineStr">
        <is>
          <t>Mr. Tan</t>
        </is>
      </c>
      <c r="D2" s="2" t="inlineStr">
        <is>
          <t>+60123456789</t>
        </is>
      </c>
      <c r="E2" s="2" t="inlineStr">
        <is>
          <t>tan_abc</t>
        </is>
      </c>
      <c r="F2" s="2" t="inlineStr">
        <is>
          <t>tan@abc.com</t>
        </is>
      </c>
      <c r="G2" s="2" t="inlineStr">
        <is>
          <t>LinkedIn</t>
        </is>
      </c>
      <c r="H2" s="2" t="inlineStr">
        <is>
          <t>Sea FCL Shanghai→PKL</t>
        </is>
      </c>
      <c r="I2" s="3" t="inlineStr">
        <is>
          <t>🟢 活跃</t>
        </is>
      </c>
      <c r="J2" s="2" t="inlineStr">
        <is>
          <t>2026-04-01</t>
        </is>
      </c>
      <c r="K2" s="2" t="inlineStr">
        <is>
          <t>2026-04-08</t>
        </is>
      </c>
      <c r="L2" s="2" t="inlineStr">
        <is>
          <t>每月2-3柜</t>
        </is>
      </c>
    </row>
    <row r="3">
      <c r="A3" s="2" t="n">
        <v>2</v>
      </c>
      <c r="B3" s="2" t="inlineStr">
        <is>
          <t>XYZ Electronics</t>
        </is>
      </c>
      <c r="C3" s="2" t="inlineStr">
        <is>
          <t>Ms. Lim</t>
        </is>
      </c>
      <c r="D3" s="2" t="inlineStr">
        <is>
          <t>+60198765432</t>
        </is>
      </c>
      <c r="E3" s="2" t="inlineStr">
        <is>
          <t>lim_xyz</t>
        </is>
      </c>
      <c r="F3" s="2" t="inlineStr">
        <is>
          <t>lim@xyz.com</t>
        </is>
      </c>
      <c r="G3" s="2" t="inlineStr">
        <is>
          <t>WhatsApp</t>
        </is>
      </c>
      <c r="H3" s="2" t="inlineStr">
        <is>
          <t>Air PVG→KUL</t>
        </is>
      </c>
      <c r="I3" s="4" t="inlineStr">
        <is>
          <t>🟡 跟进中</t>
        </is>
      </c>
      <c r="J3" s="2" t="inlineStr">
        <is>
          <t>2026-03-28</t>
        </is>
      </c>
      <c r="K3" s="2" t="inlineStr">
        <is>
          <t>2026-04-05</t>
        </is>
      </c>
      <c r="L3" s="2" t="inlineStr">
        <is>
          <t>报价已发，等回复</t>
        </is>
      </c>
    </row>
    <row r="4">
      <c r="A4" s="2" t="n">
        <v>3</v>
      </c>
      <c r="B4" s="2" t="inlineStr">
        <is>
          <t>DEF Manufacturing</t>
        </is>
      </c>
      <c r="C4" s="2" t="inlineStr">
        <is>
          <t>Mr. Wong</t>
        </is>
      </c>
      <c r="D4" s="2" t="inlineStr">
        <is>
          <t>+60112233445</t>
        </is>
      </c>
      <c r="E4" s="2" t="inlineStr">
        <is>
          <t>wong_def</t>
        </is>
      </c>
      <c r="F4" s="2" t="inlineStr"/>
      <c r="G4" s="2" t="inlineStr">
        <is>
          <t>转介绍</t>
        </is>
      </c>
      <c r="H4" s="2" t="inlineStr">
        <is>
          <t>Sea LCL Shenzhen→PKL</t>
        </is>
      </c>
      <c r="I4" s="4" t="inlineStr">
        <is>
          <t>🔴 未跟进</t>
        </is>
      </c>
      <c r="J4" s="2" t="inlineStr">
        <is>
          <t>2026-03-15</t>
        </is>
      </c>
      <c r="K4" s="2" t="inlineStr">
        <is>
          <t>2026-04-05</t>
        </is>
      </c>
      <c r="L4" s="2" t="inlineStr">
        <is>
          <t>上次报价偏高</t>
        </is>
      </c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</sheetData>
  <dataValidations count="3">
    <dataValidation sqref="I2:I100" showDropDown="0" showInputMessage="0" showErrorMessage="0" allowBlank="1" errorTitle="无效状态" error="请从下拉列表选择" type="list">
      <formula1>"🟢 活跃,🟡 跟进中,🔴 未跟进,⚫ 已成交,⚪ 已流失"</formula1>
    </dataValidation>
    <dataValidation sqref="G2:G100" showDropDown="0" showInputMessage="0" showErrorMessage="0" allowBlank="1" type="list">
      <formula1>"WhatsApp,微信,Email,LinkedIn,转介绍,展会,Google,其他"</formula1>
    </dataValidation>
    <dataValidation sqref="H2:H100" showDropDown="0" showInputMessage="0" showErrorMessage="0" allowBlank="1" type="list">
      <formula1>"Sea FCL,Sea LCL,Air,Sea+Air,不确定"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2" customWidth="1" min="4" max="4"/>
    <col width="12" customWidth="1" min="5" max="5"/>
    <col width="18" customWidth="1" min="6" max="6"/>
    <col width="14" customWidth="1" min="7" max="7"/>
    <col width="14" customWidth="1" min="8" max="8"/>
    <col width="14" customWidth="1" min="9" max="9"/>
    <col width="10" customWidth="1" min="10" max="10"/>
    <col width="14" customWidth="1" min="11" max="11"/>
    <col width="16" customWidth="1" min="12" max="12"/>
    <col width="20" customWidth="1" min="13" max="13"/>
  </cols>
  <sheetData>
    <row r="1">
      <c r="A1" s="1" t="inlineStr">
        <is>
          <t>No.</t>
        </is>
      </c>
      <c r="B1" s="1" t="inlineStr">
        <is>
          <t>日期
Date</t>
        </is>
      </c>
      <c r="C1" s="1" t="inlineStr">
        <is>
          <t>公司名
Company</t>
        </is>
      </c>
      <c r="D1" s="1" t="inlineStr">
        <is>
          <t>联系人
Contact</t>
        </is>
      </c>
      <c r="E1" s="1" t="inlineStr">
        <is>
          <t>运输方式
Mode</t>
        </is>
      </c>
      <c r="F1" s="1" t="inlineStr">
        <is>
          <t>航线
Route</t>
        </is>
      </c>
      <c r="G1" s="1" t="inlineStr">
        <is>
          <t>柜型/货量
Volume</t>
        </is>
      </c>
      <c r="H1" s="1" t="inlineStr">
        <is>
          <t>成本价
Cost (USD)</t>
        </is>
      </c>
      <c r="I1" s="1" t="inlineStr">
        <is>
          <t>报价
Quote (USD)</t>
        </is>
      </c>
      <c r="J1" s="1" t="inlineStr">
        <is>
          <t>Margin
%</t>
        </is>
      </c>
      <c r="K1" s="1" t="inlineStr">
        <is>
          <t>状态
Status</t>
        </is>
      </c>
      <c r="L1" s="1" t="inlineStr">
        <is>
          <t>报价单号
Quote No.</t>
        </is>
      </c>
      <c r="M1" s="1" t="inlineStr">
        <is>
          <t>备注
Notes</t>
        </is>
      </c>
    </row>
    <row r="2">
      <c r="A2" s="2" t="n">
        <v>1</v>
      </c>
      <c r="B2" s="2" t="inlineStr">
        <is>
          <t>2026-04-01</t>
        </is>
      </c>
      <c r="C2" s="2" t="inlineStr">
        <is>
          <t>ABC Trading</t>
        </is>
      </c>
      <c r="D2" s="2" t="inlineStr">
        <is>
          <t>Mr. Tan</t>
        </is>
      </c>
      <c r="E2" s="2" t="inlineStr">
        <is>
          <t>Sea FCL</t>
        </is>
      </c>
      <c r="F2" s="2" t="inlineStr">
        <is>
          <t>Shanghai→PKL</t>
        </is>
      </c>
      <c r="G2" s="2" t="inlineStr">
        <is>
          <t>1x40HQ</t>
        </is>
      </c>
      <c r="H2" s="2" t="n">
        <v>580</v>
      </c>
      <c r="I2" s="2" t="n">
        <v>720</v>
      </c>
      <c r="J2" s="2" t="inlineStr">
        <is>
          <t>24%</t>
        </is>
      </c>
      <c r="K2" s="3" t="inlineStr">
        <is>
          <t>✅ 已成交</t>
        </is>
      </c>
      <c r="L2" s="2" t="inlineStr">
        <is>
          <t>QT-2026-001</t>
        </is>
      </c>
      <c r="M2" s="2" t="inlineStr"/>
    </row>
    <row r="3">
      <c r="A3" s="2" t="n">
        <v>2</v>
      </c>
      <c r="B3" s="2" t="inlineStr">
        <is>
          <t>2026-04-02</t>
        </is>
      </c>
      <c r="C3" s="2" t="inlineStr">
        <is>
          <t>XYZ Electronics</t>
        </is>
      </c>
      <c r="D3" s="2" t="inlineStr">
        <is>
          <t>Ms. Lim</t>
        </is>
      </c>
      <c r="E3" s="2" t="inlineStr">
        <is>
          <t>Air</t>
        </is>
      </c>
      <c r="F3" s="2" t="inlineStr">
        <is>
          <t>PVG→KUL</t>
        </is>
      </c>
      <c r="G3" s="2" t="inlineStr">
        <is>
          <t>500kg</t>
        </is>
      </c>
      <c r="H3" s="2" t="n">
        <v>1750</v>
      </c>
      <c r="I3" s="2" t="n">
        <v>2100</v>
      </c>
      <c r="J3" s="2" t="inlineStr">
        <is>
          <t>20%</t>
        </is>
      </c>
      <c r="K3" s="4" t="inlineStr">
        <is>
          <t>⏳ 等回复</t>
        </is>
      </c>
      <c r="L3" s="2" t="inlineStr">
        <is>
          <t>QT-2026-002</t>
        </is>
      </c>
      <c r="M3" s="2" t="inlineStr"/>
    </row>
    <row r="4">
      <c r="A4" s="2" t="n">
        <v>3</v>
      </c>
      <c r="B4" s="2" t="inlineStr">
        <is>
          <t>2026-04-03</t>
        </is>
      </c>
      <c r="C4" s="2" t="inlineStr">
        <is>
          <t>DEF Manufacturing</t>
        </is>
      </c>
      <c r="D4" s="2" t="inlineStr">
        <is>
          <t>Mr. Wong</t>
        </is>
      </c>
      <c r="E4" s="2" t="inlineStr">
        <is>
          <t>Sea LCL</t>
        </is>
      </c>
      <c r="F4" s="2" t="inlineStr">
        <is>
          <t>Shenzhen→PKL</t>
        </is>
      </c>
      <c r="G4" s="2" t="inlineStr">
        <is>
          <t>8 CBM</t>
        </is>
      </c>
      <c r="H4" s="2" t="n">
        <v>240</v>
      </c>
      <c r="I4" s="2" t="n">
        <v>280</v>
      </c>
      <c r="J4" s="2" t="inlineStr">
        <is>
          <t>17%</t>
        </is>
      </c>
      <c r="K4" s="3" t="inlineStr">
        <is>
          <t>❌ 未成交</t>
        </is>
      </c>
      <c r="L4" s="2" t="inlineStr">
        <is>
          <t>QT-2026-003</t>
        </is>
      </c>
      <c r="M4" s="2" t="inlineStr">
        <is>
          <t>客户觉得贵</t>
        </is>
      </c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</sheetData>
  <dataValidations count="2">
    <dataValidation sqref="K2:K100" showDropDown="0" showInputMessage="0" showErrorMessage="0" allowBlank="1" type="list">
      <formula1>"✅ 已成交,⏳ 等回复,❌ 未成交,📝 已报价,🔄 重新报价"</formula1>
    </dataValidation>
    <dataValidation sqref="E2:E100" showDropDown="0" showInputMessage="0" showErrorMessage="0" allowBlank="1" type="list">
      <formula1>"Sea FCL,Sea LCL,Air,Sea+Air"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2" customWidth="1" min="4" max="4"/>
    <col width="12" customWidth="1" min="5" max="5"/>
    <col width="20" customWidth="1" min="6" max="6"/>
    <col width="14" customWidth="1" min="7" max="7"/>
    <col width="16" customWidth="1" min="8" max="8"/>
    <col width="14" customWidth="1" min="9" max="9"/>
    <col width="10" customWidth="1" min="10" max="10"/>
  </cols>
  <sheetData>
    <row r="1">
      <c r="A1" s="1" t="inlineStr">
        <is>
          <t>No.</t>
        </is>
      </c>
      <c r="B1" s="1" t="inlineStr">
        <is>
          <t>日期
Date</t>
        </is>
      </c>
      <c r="C1" s="1" t="inlineStr">
        <is>
          <t>公司名
Company</t>
        </is>
      </c>
      <c r="D1" s="1" t="inlineStr">
        <is>
          <t>联系人
Contact</t>
        </is>
      </c>
      <c r="E1" s="1" t="inlineStr">
        <is>
          <t>联系方式
Channel</t>
        </is>
      </c>
      <c r="F1" s="1" t="inlineStr">
        <is>
          <t>跟进内容
Action</t>
        </is>
      </c>
      <c r="G1" s="1" t="inlineStr">
        <is>
          <t>结果
Result</t>
        </is>
      </c>
      <c r="H1" s="1" t="inlineStr">
        <is>
          <t>下次跟进
Next Action</t>
        </is>
      </c>
      <c r="I1" s="1" t="inlineStr">
        <is>
          <t>截止日期
Deadline</t>
        </is>
      </c>
      <c r="J1" s="1" t="inlineStr">
        <is>
          <t>优先级
Priority</t>
        </is>
      </c>
    </row>
    <row r="2">
      <c r="A2" s="2" t="n">
        <v>1</v>
      </c>
      <c r="B2" s="2" t="inlineStr">
        <is>
          <t>2026-04-01</t>
        </is>
      </c>
      <c r="C2" s="2" t="inlineStr">
        <is>
          <t>ABC Trading</t>
        </is>
      </c>
      <c r="D2" s="2" t="inlineStr">
        <is>
          <t>Mr. Tan</t>
        </is>
      </c>
      <c r="E2" s="2" t="inlineStr">
        <is>
          <t>WhatsApp</t>
        </is>
      </c>
      <c r="F2" s="2" t="inlineStr">
        <is>
          <t>发送4月报价</t>
        </is>
      </c>
      <c r="G2" s="2" t="inlineStr">
        <is>
          <t>客户确认</t>
        </is>
      </c>
      <c r="H2" s="2" t="inlineStr">
        <is>
          <t>确认出货时间</t>
        </is>
      </c>
      <c r="I2" s="2" t="inlineStr">
        <is>
          <t>2026-04-08</t>
        </is>
      </c>
      <c r="J2" s="3" t="inlineStr">
        <is>
          <t>🟢 低</t>
        </is>
      </c>
    </row>
    <row r="3">
      <c r="A3" s="2" t="n">
        <v>2</v>
      </c>
      <c r="B3" s="2" t="inlineStr">
        <is>
          <t>2026-04-02</t>
        </is>
      </c>
      <c r="C3" s="2" t="inlineStr">
        <is>
          <t>XYZ Electronics</t>
        </is>
      </c>
      <c r="D3" s="2" t="inlineStr">
        <is>
          <t>Ms. Lim</t>
        </is>
      </c>
      <c r="E3" s="2" t="inlineStr">
        <is>
          <t>微信</t>
        </is>
      </c>
      <c r="F3" s="2" t="inlineStr">
        <is>
          <t>跟进报价反馈</t>
        </is>
      </c>
      <c r="G3" s="2" t="inlineStr">
        <is>
          <t>未回复</t>
        </is>
      </c>
      <c r="H3" s="2" t="inlineStr">
        <is>
          <t>再次跟进</t>
        </is>
      </c>
      <c r="I3" s="2" t="inlineStr">
        <is>
          <t>2026-04-05</t>
        </is>
      </c>
      <c r="J3" s="5" t="inlineStr">
        <is>
          <t>🔴 高</t>
        </is>
      </c>
    </row>
    <row r="4">
      <c r="A4" s="2" t="n">
        <v>3</v>
      </c>
      <c r="B4" s="2" t="inlineStr">
        <is>
          <t>2026-04-03</t>
        </is>
      </c>
      <c r="C4" s="2" t="inlineStr">
        <is>
          <t>DEF Manufacturing</t>
        </is>
      </c>
      <c r="D4" s="2" t="inlineStr">
        <is>
          <t>Mr. Wong</t>
        </is>
      </c>
      <c r="E4" s="2" t="inlineStr">
        <is>
          <t>Email</t>
        </is>
      </c>
      <c r="F4" s="2" t="inlineStr">
        <is>
          <t>发送降价方案</t>
        </is>
      </c>
      <c r="G4" s="2" t="inlineStr">
        <is>
          <t>已读未回</t>
        </is>
      </c>
      <c r="H4" s="2" t="inlineStr">
        <is>
          <t>电话跟进</t>
        </is>
      </c>
      <c r="I4" s="2" t="inlineStr">
        <is>
          <t>2026-04-06</t>
        </is>
      </c>
      <c r="J4" s="4" t="inlineStr">
        <is>
          <t>🟡 中</t>
        </is>
      </c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</sheetData>
  <dataValidations count="2">
    <dataValidation sqref="E2:E100" showDropDown="0" showInputMessage="0" showErrorMessage="0" allowBlank="1" type="list">
      <formula1>"WhatsApp,微信,Email,电话,LinkedIn,面谈"</formula1>
    </dataValidation>
    <dataValidation sqref="J2:J100" showDropDown="0" showInputMessage="0" showErrorMessage="0" allowBlank="1" type="list">
      <formula1>"🔴 高,🟡 中,🟢 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6" t="inlineStr">
        <is>
          <t>📊 业务统计看板 Business Dashboard</t>
        </is>
      </c>
    </row>
    <row r="3">
      <c r="A3" s="7" t="inlineStr">
        <is>
          <t>👥 客户统计</t>
        </is>
      </c>
    </row>
    <row r="4">
      <c r="A4" s="8" t="inlineStr">
        <is>
          <t>总客户数</t>
        </is>
      </c>
      <c r="B4" s="2">
        <f>COUNTA(客户总览!B2:B100)-COUNTBLANK(客户总览!B2:B100)</f>
        <v/>
      </c>
    </row>
    <row r="5">
      <c r="A5" s="8" t="inlineStr">
        <is>
          <t>活跃客户</t>
        </is>
      </c>
      <c r="B5" s="2">
        <f>COUNTIF(客户总览!I2:I100,"*活跃*")</f>
        <v/>
      </c>
    </row>
    <row r="6">
      <c r="A6" s="8" t="inlineStr">
        <is>
          <t>跟进中</t>
        </is>
      </c>
      <c r="B6" s="2">
        <f>COUNTIF(客户总览!I2:I100,"*跟进*")</f>
        <v/>
      </c>
    </row>
    <row r="7">
      <c r="A7" s="8" t="inlineStr">
        <is>
          <t>未跟进 ⚠️</t>
        </is>
      </c>
      <c r="B7" s="2">
        <f>COUNTIF(客户总览!I2:I100,"*未跟进*")</f>
        <v/>
      </c>
    </row>
    <row r="8">
      <c r="A8" s="8" t="inlineStr">
        <is>
          <t>已成交</t>
        </is>
      </c>
      <c r="B8" s="2">
        <f>COUNTIF(客户总览!I2:I100,"*成交*")</f>
        <v/>
      </c>
    </row>
    <row r="11">
      <c r="A11" s="7" t="inlineStr">
        <is>
          <t>💰 报价统计</t>
        </is>
      </c>
    </row>
    <row r="12">
      <c r="A12" s="8" t="inlineStr">
        <is>
          <t>总报价数</t>
        </is>
      </c>
      <c r="B12" s="2">
        <f>COUNTA(报价记录!B2:B100)-COUNTBLANK(报价记录!B2:B100)</f>
        <v/>
      </c>
    </row>
    <row r="13">
      <c r="A13" s="8" t="inlineStr">
        <is>
          <t>已成交</t>
        </is>
      </c>
      <c r="B13" s="2">
        <f>COUNTIF(报价记录!K2:K100,"*成交*")</f>
        <v/>
      </c>
    </row>
    <row r="14">
      <c r="A14" s="8" t="inlineStr">
        <is>
          <t>等回复</t>
        </is>
      </c>
      <c r="B14" s="2">
        <f>COUNTIF(报价记录!K2:K100,"*等回复*")</f>
        <v/>
      </c>
    </row>
    <row r="15">
      <c r="A15" s="8" t="inlineStr">
        <is>
          <t>未成交</t>
        </is>
      </c>
      <c r="B15" s="2">
        <f>COUNTIF(报价记录!K2:K100,"*未成交*")</f>
        <v/>
      </c>
    </row>
    <row r="16">
      <c r="A16" s="8" t="inlineStr">
        <is>
          <t>成交率</t>
        </is>
      </c>
      <c r="B16" s="9">
        <f>IF(B12=0,0,B13/B12)</f>
        <v/>
      </c>
    </row>
    <row r="19">
      <c r="A19" s="7" t="inlineStr">
        <is>
          <t>📋 跟进统计</t>
        </is>
      </c>
    </row>
    <row r="20">
      <c r="A20" s="8" t="inlineStr">
        <is>
          <t>待跟进总数</t>
        </is>
      </c>
      <c r="B20" s="2">
        <f>COUNTA(跟进提醒!B2:B100)-COUNTBLANK(跟进提醒!B2:B100)</f>
        <v/>
      </c>
    </row>
    <row r="21">
      <c r="A21" s="8" t="inlineStr">
        <is>
          <t>🔴 高优先级</t>
        </is>
      </c>
      <c r="B21" s="2">
        <f>COUNTIF(跟进提醒!J2:J100,"*高*")</f>
        <v/>
      </c>
    </row>
    <row r="22">
      <c r="A22" s="8" t="inlineStr">
        <is>
          <t>🟡 中优先级</t>
        </is>
      </c>
      <c r="B22" s="2">
        <f>COUNTIF(跟进提醒!J2:J100,"*中*")</f>
        <v/>
      </c>
    </row>
    <row r="23">
      <c r="A23" s="8" t="inlineStr">
        <is>
          <t>🟢 低优先级</t>
        </is>
      </c>
      <c r="B23" s="2">
        <f>COUNTIF(跟进提醒!J2:J100,"*低*")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2026-04-05T13:14:54Z</dcterms:created>
  <dcterms:modified xsi:type="dcterms:W3CDTF">2026-04-05T13:14:54Z</dcterms:modified>
</cp:coreProperties>
</file>
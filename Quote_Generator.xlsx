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生成器 Generator" sheetId="1" state="visible" r:id="rId1"/>
    <sheet name="报价单 Quot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&quot;%&quot;"/>
  </numFmts>
  <fonts count="24">
    <font>
      <name val="Calibri"/>
      <family val="2"/>
      <color theme="1"/>
      <sz val="11"/>
      <scheme val="minor"/>
    </font>
    <font>
      <name val="Arial"/>
      <b val="1"/>
      <color rgb="002F5496"/>
      <sz val="18"/>
    </font>
    <font>
      <name val="Arial"/>
      <color rgb="00666666"/>
      <sz val="11"/>
    </font>
    <font>
      <name val="Arial"/>
      <b val="1"/>
      <color rgb="002F5496"/>
      <sz val="13"/>
    </font>
    <font>
      <name val="Arial"/>
      <b val="1"/>
      <sz val="10"/>
    </font>
    <font>
      <name val="Arial"/>
      <sz val="10"/>
    </font>
    <font>
      <name val="Arial"/>
      <i val="1"/>
      <color rgb="00999999"/>
      <sz val="9"/>
    </font>
    <font>
      <name val="Arial"/>
      <i val="1"/>
      <color rgb="00E65100"/>
      <sz val="10"/>
    </font>
    <font>
      <name val="Arial"/>
      <b val="1"/>
      <color rgb="00FFFFFF"/>
      <sz val="11"/>
    </font>
    <font>
      <name val="Arial"/>
      <i val="1"/>
      <color rgb="00666666"/>
      <sz val="9"/>
    </font>
    <font>
      <name val="Arial"/>
      <b val="1"/>
      <sz val="14"/>
    </font>
    <font>
      <name val="Arial"/>
      <b val="1"/>
      <sz val="12"/>
    </font>
    <font>
      <name val="Arial"/>
      <b val="1"/>
      <color rgb="00E65100"/>
      <sz val="14"/>
    </font>
    <font>
      <name val="Arial"/>
      <b val="1"/>
      <color rgb="00E65100"/>
      <sz val="16"/>
    </font>
    <font>
      <name val="Arial"/>
      <b val="1"/>
      <color rgb="002F5496"/>
      <sz val="12"/>
    </font>
    <font>
      <name val="Arial"/>
      <b val="1"/>
      <color rgb="002F5496"/>
      <sz val="20"/>
    </font>
    <font>
      <name val="Arial"/>
      <color rgb="00666666"/>
      <sz val="12"/>
    </font>
    <font>
      <name val="Arial"/>
      <color rgb="00888888"/>
      <sz val="10"/>
    </font>
    <font>
      <color rgb="002F5496"/>
    </font>
    <font>
      <name val="Arial"/>
      <b val="1"/>
      <color rgb="002F5496"/>
      <sz val="11"/>
    </font>
    <font>
      <name val="Arial"/>
      <b val="1"/>
      <sz val="11"/>
    </font>
    <font>
      <name val="Arial"/>
      <b val="1"/>
      <sz val="13"/>
    </font>
    <font>
      <name val="Arial"/>
      <i val="1"/>
      <color rgb="00666666"/>
      <sz val="10"/>
    </font>
    <font>
      <name val="Arial"/>
      <b val="1"/>
      <color rgb="002F5496"/>
      <sz val="10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4" fontId="5" fillId="2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0" fillId="0" borderId="1" pivotButton="0" quotePrefix="0" xfId="0"/>
    <xf numFmtId="4" fontId="0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165" fontId="10" fillId="2" borderId="1" applyAlignment="1" pivotButton="0" quotePrefix="0" xfId="0">
      <alignment horizontal="center" vertical="center" wrapText="1"/>
    </xf>
    <xf numFmtId="0" fontId="11" fillId="4" borderId="1" pivotButton="0" quotePrefix="0" xfId="0"/>
    <xf numFmtId="4" fontId="10" fillId="4" borderId="1" applyAlignment="1" pivotButton="0" quotePrefix="0" xfId="0">
      <alignment horizontal="center" vertical="center" wrapText="1"/>
    </xf>
    <xf numFmtId="0" fontId="12" fillId="4" borderId="1" pivotButton="0" quotePrefix="0" xfId="0"/>
    <xf numFmtId="4" fontId="13" fillId="4" borderId="1" applyAlignment="1" pivotButton="0" quotePrefix="0" xfId="0">
      <alignment horizontal="center" vertical="center" wrapText="1"/>
    </xf>
    <xf numFmtId="164" fontId="14" fillId="0" borderId="1" applyAlignment="1" pivotButton="0" quotePrefix="0" xfId="0">
      <alignment horizontal="center" vertical="center" wrapText="1"/>
    </xf>
    <xf numFmtId="0" fontId="15" fillId="0" borderId="0" pivotButton="0" quotePrefix="0" xfId="0"/>
    <xf numFmtId="0" fontId="16" fillId="0" borderId="0" applyAlignment="1" pivotButton="0" quotePrefix="0" xfId="0">
      <alignment horizontal="left"/>
    </xf>
    <xf numFmtId="0" fontId="17" fillId="0" borderId="0" pivotButton="0" quotePrefix="0" xfId="0"/>
    <xf numFmtId="0" fontId="18" fillId="0" borderId="0" pivotButton="0" quotePrefix="0" xfId="0"/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right"/>
    </xf>
    <xf numFmtId="0" fontId="5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14" fillId="0" borderId="0" pivotButton="0" quotePrefix="0" xfId="0"/>
    <xf numFmtId="0" fontId="5" fillId="5" borderId="0" pivotButton="0" quotePrefix="0" xfId="0"/>
    <xf numFmtId="4" fontId="5" fillId="0" borderId="1" applyAlignment="1" pivotButton="0" quotePrefix="0" xfId="0">
      <alignment horizontal="center" vertical="center" wrapText="1"/>
    </xf>
    <xf numFmtId="0" fontId="21" fillId="4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/>
    </xf>
    <xf numFmtId="0" fontId="2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6" customWidth="1" min="3" max="3"/>
    <col width="16" customWidth="1" min="4" max="4"/>
    <col width="14" customWidth="1" min="5" max="5"/>
    <col width="30" customWidth="1" min="6" max="6"/>
  </cols>
  <sheetData>
    <row r="1" ht="35" customHeight="1">
      <c r="A1" s="1" t="inlineStr">
        <is>
          <t>🚢 报价单生成器 Quotation Generator</t>
        </is>
      </c>
    </row>
    <row r="2">
      <c r="A2" s="2" t="inlineStr">
        <is>
          <t>填写黄色格子 → 自动生成报价单 → 切换到「报价单」Sheet 查看 &amp; 发送</t>
        </is>
      </c>
    </row>
    <row r="4">
      <c r="A4" s="3" t="inlineStr">
        <is>
          <t>📋 报价单信息 Quote Info</t>
        </is>
      </c>
    </row>
    <row r="5">
      <c r="A5" s="4" t="inlineStr">
        <is>
          <t>报价单号 Quote No:</t>
        </is>
      </c>
      <c r="B5" s="5" t="inlineStr">
        <is>
          <t>QT-2026-001</t>
        </is>
      </c>
      <c r="C5" s="6" t="inlineStr">
        <is>
          <t>自定义编号，如 QT-2026-001</t>
        </is>
      </c>
    </row>
    <row r="6">
      <c r="A6" s="4" t="inlineStr">
        <is>
          <t>报价日期 Date:</t>
        </is>
      </c>
      <c r="B6" s="5" t="inlineStr">
        <is>
          <t>2026-04-05</t>
        </is>
      </c>
    </row>
    <row r="7">
      <c r="A7" s="4" t="inlineStr">
        <is>
          <t>有效期（天）Valid Days:</t>
        </is>
      </c>
      <c r="B7" s="5" t="n">
        <v>7</v>
      </c>
      <c r="C7" s="6" t="inlineStr">
        <is>
          <t>报价单有效期，默认7天</t>
        </is>
      </c>
    </row>
    <row r="8">
      <c r="A8" s="4" t="inlineStr">
        <is>
          <t>业务员 Sales:</t>
        </is>
      </c>
      <c r="B8" s="5" t="inlineStr">
        <is>
          <t>Brandon</t>
        </is>
      </c>
    </row>
    <row r="9">
      <c r="A9" s="4" t="inlineStr">
        <is>
          <t>公司名称 Your Company:</t>
        </is>
      </c>
      <c r="B9" s="5" t="inlineStr">
        <is>
          <t>[Your Company]</t>
        </is>
      </c>
      <c r="C9" s="6" t="inlineStr">
        <is>
          <t>你的公司名</t>
        </is>
      </c>
    </row>
    <row r="10">
      <c r="A10" s="4" t="inlineStr">
        <is>
          <t>公司电话 Company Phone:</t>
        </is>
      </c>
      <c r="B10" s="5" t="inlineStr">
        <is>
          <t>+601x-xxxxxxx</t>
        </is>
      </c>
    </row>
    <row r="11">
      <c r="A11" s="4" t="inlineStr">
        <is>
          <t>公司邮箱 Company Email:</t>
        </is>
      </c>
      <c r="B11" s="5" t="inlineStr"/>
    </row>
    <row r="13">
      <c r="A13" s="3" t="inlineStr">
        <is>
          <t>👤 客户信息 Customer Info</t>
        </is>
      </c>
    </row>
    <row r="14">
      <c r="A14" s="4" t="inlineStr">
        <is>
          <t>公司名 Company:</t>
        </is>
      </c>
      <c r="B14" s="5" t="inlineStr"/>
    </row>
    <row r="15">
      <c r="A15" s="4" t="inlineStr">
        <is>
          <t>联系人 Contact:</t>
        </is>
      </c>
      <c r="B15" s="5" t="inlineStr"/>
    </row>
    <row r="16">
      <c r="A16" s="4" t="inlineStr">
        <is>
          <t>电话 Phone:</t>
        </is>
      </c>
      <c r="B16" s="5" t="inlineStr"/>
    </row>
    <row r="17">
      <c r="A17" s="4" t="inlineStr">
        <is>
          <t>微信/WhatsApp:</t>
        </is>
      </c>
      <c r="B17" s="5" t="inlineStr"/>
    </row>
    <row r="18">
      <c r="A18" s="4" t="inlineStr">
        <is>
          <t>邮箱 Email:</t>
        </is>
      </c>
      <c r="B18" s="5" t="inlineStr"/>
    </row>
    <row r="20">
      <c r="A20" s="3" t="inlineStr">
        <is>
          <t>📦 货物信息 Shipment Details</t>
        </is>
      </c>
    </row>
    <row r="21">
      <c r="A21" s="4" t="inlineStr">
        <is>
          <t>运输方式 Mode:</t>
        </is>
      </c>
      <c r="B21" s="5" t="inlineStr">
        <is>
          <t>Sea FCL</t>
        </is>
      </c>
      <c r="C21" s="6" t="inlineStr">
        <is>
          <t>Sea FCL / Sea LCL / Air</t>
        </is>
      </c>
    </row>
    <row r="22">
      <c r="A22" s="4" t="inlineStr">
        <is>
          <t>起运地 POL:</t>
        </is>
      </c>
      <c r="B22" s="5" t="inlineStr">
        <is>
          <t>Shanghai</t>
        </is>
      </c>
    </row>
    <row r="23">
      <c r="A23" s="4" t="inlineStr">
        <is>
          <t>目的地 POD:</t>
        </is>
      </c>
      <c r="B23" s="5" t="inlineStr">
        <is>
          <t>Port Klang</t>
        </is>
      </c>
      <c r="C23" s="6" t="inlineStr">
        <is>
          <t>Port Klang / Kuching / KK / Bintulu / Miri / Sibu</t>
        </is>
      </c>
    </row>
    <row r="24">
      <c r="A24" s="4" t="inlineStr">
        <is>
          <t>柜型 Container:</t>
        </is>
      </c>
      <c r="B24" s="5" t="inlineStr">
        <is>
          <t>40HQ</t>
        </is>
      </c>
      <c r="C24" s="6" t="inlineStr">
        <is>
          <t>20GP / 40GP / 40HQ (FCL) 或 CBM/KG</t>
        </is>
      </c>
    </row>
    <row r="25">
      <c r="A25" s="4" t="inlineStr">
        <is>
          <t>数量 Quantity:</t>
        </is>
      </c>
      <c r="B25" s="5" t="n">
        <v>1</v>
      </c>
      <c r="C25" s="6" t="inlineStr">
        <is>
          <t>柜数 / CBM / KG</t>
        </is>
      </c>
    </row>
    <row r="26">
      <c r="A26" s="4" t="inlineStr">
        <is>
          <t>货品描述 Cargo:</t>
        </is>
      </c>
      <c r="B26" s="5" t="inlineStr"/>
      <c r="C26" s="6" t="inlineStr">
        <is>
          <t>如: Electronics / Furniture</t>
        </is>
      </c>
    </row>
    <row r="27">
      <c r="A27" s="4" t="inlineStr">
        <is>
          <t>货值 Cargo Value (USD):</t>
        </is>
      </c>
      <c r="B27" s="5" t="n">
        <v>0</v>
      </c>
      <c r="C27" s="6" t="inlineStr">
        <is>
          <t>用于计算保险</t>
        </is>
      </c>
    </row>
    <row r="29">
      <c r="A29" s="3" t="inlineStr">
        <is>
          <t>💰 费用明细 Cost Breakdown</t>
        </is>
      </c>
    </row>
    <row r="30">
      <c r="A30" s="7" t="inlineStr">
        <is>
          <t>在「成本 Cost」列填入你的采购成本，在「报价 Selling」列填入给客户的报价（或留空自动算）</t>
        </is>
      </c>
    </row>
    <row r="31">
      <c r="A31" s="8" t="inlineStr">
        <is>
          <t>费用项目 Item</t>
        </is>
      </c>
      <c r="B31" s="8" t="inlineStr">
        <is>
          <t>币种 Ccy</t>
        </is>
      </c>
      <c r="C31" s="8" t="inlineStr">
        <is>
          <t>成本 Cost</t>
        </is>
      </c>
      <c r="D31" s="8" t="inlineStr">
        <is>
          <t>报价 Selling</t>
        </is>
      </c>
      <c r="E31" s="8" t="inlineStr">
        <is>
          <t>自动Margin%</t>
        </is>
      </c>
      <c r="F31" s="8" t="inlineStr">
        <is>
          <t>备注 Notes</t>
        </is>
      </c>
    </row>
    <row r="32">
      <c r="A32" s="9" t="inlineStr">
        <is>
          <t>海运费 Ocean Freight</t>
        </is>
      </c>
      <c r="B32" s="10" t="inlineStr">
        <is>
          <t>USD</t>
        </is>
      </c>
      <c r="C32" s="11" t="inlineStr"/>
      <c r="D32" s="11" t="inlineStr"/>
      <c r="E32" s="12" t="n"/>
      <c r="F32" s="13" t="inlineStr">
        <is>
          <t>从供应商拿的运价</t>
        </is>
      </c>
    </row>
    <row r="33">
      <c r="A33" s="9" t="inlineStr">
        <is>
          <t>THC 码头费</t>
        </is>
      </c>
      <c r="B33" s="10" t="inlineStr">
        <is>
          <t>USD</t>
        </is>
      </c>
      <c r="C33" s="11" t="n">
        <v>150</v>
      </c>
      <c r="D33" s="11" t="inlineStr"/>
      <c r="E33" s="12" t="n"/>
      <c r="F33" s="13" t="inlineStr"/>
    </row>
    <row r="34">
      <c r="A34" s="9" t="inlineStr">
        <is>
          <t>DOC 文件费</t>
        </is>
      </c>
      <c r="B34" s="10" t="inlineStr">
        <is>
          <t>USD</t>
        </is>
      </c>
      <c r="C34" s="11" t="n">
        <v>50</v>
      </c>
      <c r="D34" s="11" t="inlineStr"/>
      <c r="E34" s="12" t="n"/>
      <c r="F34" s="13" t="inlineStr"/>
    </row>
    <row r="35">
      <c r="A35" s="9" t="inlineStr">
        <is>
          <t>BAF 燃油附加费</t>
        </is>
      </c>
      <c r="B35" s="10" t="inlineStr">
        <is>
          <t>USD</t>
        </is>
      </c>
      <c r="C35" s="11" t="inlineStr"/>
      <c r="D35" s="11" t="inlineStr"/>
      <c r="E35" s="12" t="n"/>
      <c r="F35" s="13" t="inlineStr">
        <is>
          <t>按实际或估算</t>
        </is>
      </c>
    </row>
    <row r="36">
      <c r="A36" s="9" t="inlineStr">
        <is>
          <t>ISPS 安保费</t>
        </is>
      </c>
      <c r="B36" s="10" t="inlineStr">
        <is>
          <t>USD</t>
        </is>
      </c>
      <c r="C36" s="11" t="n">
        <v>15</v>
      </c>
      <c r="D36" s="11" t="inlineStr"/>
      <c r="E36" s="12" t="n"/>
      <c r="F36" s="13" t="inlineStr"/>
    </row>
    <row r="37">
      <c r="A37" s="9" t="inlineStr">
        <is>
          <t>报关费 Customs (MYR)</t>
        </is>
      </c>
      <c r="B37" s="10" t="inlineStr">
        <is>
          <t>MYR</t>
        </is>
      </c>
      <c r="C37" s="11" t="n">
        <v>200</v>
      </c>
      <c r="D37" s="11" t="inlineStr"/>
      <c r="E37" s="12" t="n"/>
      <c r="F37" s="13" t="inlineStr"/>
    </row>
    <row r="38">
      <c r="A38" s="9" t="inlineStr">
        <is>
          <t>本地运费/中转 (MYR)</t>
        </is>
      </c>
      <c r="B38" s="10" t="inlineStr">
        <is>
          <t>MYR</t>
        </is>
      </c>
      <c r="C38" s="11" t="inlineStr"/>
      <c r="D38" s="11" t="inlineStr"/>
      <c r="E38" s="12" t="n"/>
      <c r="F38" s="13" t="inlineStr">
        <is>
          <t>东马转运填这里</t>
        </is>
      </c>
    </row>
    <row r="39">
      <c r="A39" s="9" t="inlineStr">
        <is>
          <t>报关费 East MY (MYR)</t>
        </is>
      </c>
      <c r="B39" s="10" t="inlineStr">
        <is>
          <t>MYR</t>
        </is>
      </c>
      <c r="C39" s="11" t="n">
        <v>250</v>
      </c>
      <c r="D39" s="11" t="inlineStr"/>
      <c r="E39" s="12" t="n"/>
      <c r="F39" s="13" t="inlineStr">
        <is>
          <t>东马需要</t>
        </is>
      </c>
    </row>
    <row r="40">
      <c r="A40" s="9" t="inlineStr">
        <is>
          <t>拖车费 Trucking (MYR)</t>
        </is>
      </c>
      <c r="B40" s="10" t="inlineStr">
        <is>
          <t>MYR</t>
        </is>
      </c>
      <c r="C40" s="11" t="inlineStr"/>
      <c r="D40" s="11" t="inlineStr"/>
      <c r="E40" s="12" t="n"/>
      <c r="F40" s="13" t="inlineStr">
        <is>
          <t>如需送到门</t>
        </is>
      </c>
    </row>
    <row r="41">
      <c r="A41" s="9" t="inlineStr">
        <is>
          <t>保险 Insurance</t>
        </is>
      </c>
      <c r="B41" s="10" t="inlineStr">
        <is>
          <t>USD</t>
        </is>
      </c>
      <c r="C41" s="11" t="inlineStr"/>
      <c r="D41" s="11" t="inlineStr"/>
      <c r="E41" s="12" t="n"/>
      <c r="F41" s="13" t="inlineStr">
        <is>
          <t>0.3% cargo value</t>
        </is>
      </c>
    </row>
    <row r="42">
      <c r="A42" s="9" t="inlineStr">
        <is>
          <t>其他 Others</t>
        </is>
      </c>
      <c r="B42" s="10" t="inlineStr"/>
      <c r="C42" s="11" t="inlineStr"/>
      <c r="D42" s="11" t="inlineStr"/>
      <c r="E42" s="12" t="n"/>
      <c r="F42" s="13" t="inlineStr"/>
    </row>
    <row r="44">
      <c r="A44" s="3" t="inlineStr">
        <is>
          <t>📊 汇总 SUMMARY</t>
        </is>
      </c>
    </row>
    <row r="45">
      <c r="A45" s="4" t="inlineStr">
        <is>
          <t>小计 USD Subtotal</t>
        </is>
      </c>
      <c r="B45" s="14" t="n"/>
      <c r="C45" s="15" t="n"/>
      <c r="D45" s="15" t="n"/>
      <c r="E45" s="4" t="inlineStr">
        <is>
          <t>Cost</t>
        </is>
      </c>
      <c r="F45" s="16" t="inlineStr">
        <is>
          <t>USD 行合计</t>
        </is>
      </c>
    </row>
    <row r="46">
      <c r="A46" s="4" t="inlineStr">
        <is>
          <t>小计 MYR Subtotal</t>
        </is>
      </c>
      <c r="B46" s="14" t="n"/>
      <c r="C46" s="15" t="n"/>
      <c r="D46" s="15" t="n"/>
      <c r="E46" s="4" t="inlineStr">
        <is>
          <t>Cost</t>
        </is>
      </c>
      <c r="F46" s="16" t="inlineStr">
        <is>
          <t>MYR 行合计</t>
        </is>
      </c>
    </row>
    <row r="47">
      <c r="A47" s="4" t="inlineStr">
        <is>
          <t>汇率 Exchange Rate</t>
        </is>
      </c>
      <c r="B47" s="10" t="inlineStr">
        <is>
          <t>MYR→USD</t>
        </is>
      </c>
      <c r="C47" s="5" t="n">
        <v>4.5</v>
      </c>
      <c r="F47" s="16" t="inlineStr">
        <is>
          <t>填当前汇率</t>
        </is>
      </c>
    </row>
    <row r="48">
      <c r="A48" s="4" t="inlineStr">
        <is>
          <t>整体 Margin %</t>
        </is>
      </c>
      <c r="B48" s="14" t="n"/>
      <c r="C48" s="17" t="n">
        <v>20</v>
      </c>
      <c r="F48" s="16" t="inlineStr">
        <is>
          <t>默认20%，可调整 10%-30%</t>
        </is>
      </c>
    </row>
    <row r="50">
      <c r="A50" s="18" t="inlineStr">
        <is>
          <t>💵 总成本 Total Cost (USD)</t>
        </is>
      </c>
      <c r="B50" s="14" t="n"/>
      <c r="C50" s="19" t="n"/>
    </row>
    <row r="51">
      <c r="A51" s="20" t="inlineStr">
        <is>
          <t>💵 报价 Selling Price (USD)</t>
        </is>
      </c>
      <c r="B51" s="14" t="n"/>
      <c r="C51" s="21" t="n"/>
    </row>
    <row r="52">
      <c r="A52" s="4" t="inlineStr">
        <is>
          <t>📈 实际 Margin</t>
        </is>
      </c>
      <c r="B52" s="14" t="n"/>
      <c r="C52" s="22" t="n"/>
    </row>
  </sheetData>
  <mergeCells count="3">
    <mergeCell ref="A2:F2"/>
    <mergeCell ref="A1:F1"/>
    <mergeCell ref="A30:F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18" customWidth="1" min="4" max="4"/>
    <col width="15" customWidth="1" min="5" max="5"/>
  </cols>
  <sheetData>
    <row r="1" ht="40" customHeight="1">
      <c r="A1" s="23">
        <f>生成器 Generator!B9</f>
        <v/>
      </c>
    </row>
    <row r="2">
      <c r="A2" s="24" t="inlineStr">
        <is>
          <t>Freight Forwarding &amp; Logistics Services</t>
        </is>
      </c>
    </row>
    <row r="3">
      <c r="A3" s="25">
        <f>CONCATENATE("Tel: ",'生成器 Generator'!B10,"  |  Email: ",'生成器 Generator'!B11)</f>
        <v/>
      </c>
    </row>
    <row r="4">
      <c r="A4" s="26" t="inlineStr">
        <is>
          <t>━━━━━━━━━━━━━━━━━━━━━━━━━━━━━━━━━━━━━━━━━━━━━━━━━━━━━━━━━━━━</t>
        </is>
      </c>
    </row>
    <row r="6">
      <c r="A6" s="1" t="inlineStr">
        <is>
          <t>QUOTATION</t>
        </is>
      </c>
      <c r="D6" s="27" t="inlineStr">
        <is>
          <t>Quote No:</t>
        </is>
      </c>
      <c r="E6" s="28">
        <f>生成器 Generator!B5</f>
        <v/>
      </c>
    </row>
    <row r="7">
      <c r="D7" s="29" t="inlineStr">
        <is>
          <t>Date:</t>
        </is>
      </c>
      <c r="E7" s="30">
        <f>生成器 Generator!B6</f>
        <v/>
      </c>
    </row>
    <row r="8">
      <c r="D8" s="29" t="inlineStr">
        <is>
          <t>Valid Until:</t>
        </is>
      </c>
      <c r="E8" s="30">
        <f>生成器 Generator!B6 + 生成器 Generator!B7</f>
        <v/>
      </c>
    </row>
    <row r="10">
      <c r="A10" s="31" t="inlineStr">
        <is>
          <t>TO:</t>
        </is>
      </c>
    </row>
    <row r="11">
      <c r="A11" s="32">
        <f>生成器 Generator!B14</f>
        <v/>
      </c>
    </row>
    <row r="12">
      <c r="A12" s="30">
        <f>CONCATENATE("Attn: ",'生成器 Generator'!B15)</f>
        <v/>
      </c>
    </row>
    <row r="13">
      <c r="A13" s="30">
        <f>CONCATENATE("Tel: ",'生成器 Generator'!B16)</f>
        <v/>
      </c>
    </row>
    <row r="14">
      <c r="A14" s="30">
        <f>CONCATENATE("Email: ",'生成器 Generator'!B18)</f>
        <v/>
      </c>
    </row>
    <row r="16">
      <c r="A16" s="33" t="inlineStr">
        <is>
          <t>SHIPMENT DETAILS</t>
        </is>
      </c>
    </row>
    <row r="17">
      <c r="A17" s="28" t="inlineStr">
        <is>
          <t>Service:</t>
        </is>
      </c>
      <c r="B17" s="34">
        <f>生成器 Generator!B21</f>
        <v/>
      </c>
    </row>
    <row r="18">
      <c r="A18" s="28" t="inlineStr">
        <is>
          <t>Route:</t>
        </is>
      </c>
      <c r="B18" s="34">
        <f>CONCATENATE(生成器 Generator!B22," → ",生成器 Generator!B23)</f>
        <v/>
      </c>
    </row>
    <row r="19">
      <c r="A19" s="28" t="inlineStr">
        <is>
          <t>Container:</t>
        </is>
      </c>
      <c r="B19" s="34">
        <f>CONCATENATE(生成器 Generator!B25," x ",生成器 Generator!B24)</f>
        <v/>
      </c>
    </row>
    <row r="20">
      <c r="A20" s="28" t="inlineStr">
        <is>
          <t>Cargo:</t>
        </is>
      </c>
      <c r="B20" s="34">
        <f>生成器 Generator!B26</f>
        <v/>
      </c>
    </row>
    <row r="22">
      <c r="A22" s="33" t="inlineStr">
        <is>
          <t>COST BREAKDOWN</t>
        </is>
      </c>
    </row>
    <row r="23">
      <c r="A23" s="8" t="inlineStr">
        <is>
          <t>Item</t>
        </is>
      </c>
      <c r="B23" s="8" t="inlineStr">
        <is>
          <t>Currency</t>
        </is>
      </c>
      <c r="C23" s="8" t="inlineStr">
        <is>
          <t>Amount</t>
        </is>
      </c>
      <c r="D23" s="8" t="inlineStr">
        <is>
          <t>Remarks</t>
        </is>
      </c>
    </row>
    <row r="24">
      <c r="A24" s="9" t="inlineStr">
        <is>
          <t>Ocean Freight</t>
        </is>
      </c>
      <c r="B24" s="35">
        <f>IF(生成器 Generator!D32="","",生成器 Generator!D32)</f>
        <v/>
      </c>
      <c r="C24" s="10" t="inlineStr">
        <is>
          <t>USD</t>
        </is>
      </c>
      <c r="D24" s="16" t="inlineStr"/>
    </row>
    <row r="25">
      <c r="A25" s="9" t="inlineStr">
        <is>
          <t>THC</t>
        </is>
      </c>
      <c r="B25" s="35">
        <f>IF(生成器 Generator!D33="","",生成器 Generator!D33)</f>
        <v/>
      </c>
      <c r="C25" s="10" t="inlineStr">
        <is>
          <t>USD</t>
        </is>
      </c>
      <c r="D25" s="16" t="inlineStr"/>
    </row>
    <row r="26">
      <c r="A26" s="9" t="inlineStr">
        <is>
          <t>Documentation Fee</t>
        </is>
      </c>
      <c r="B26" s="35">
        <f>IF(生成器 Generator!D34="","",生成器 Generator!D34)</f>
        <v/>
      </c>
      <c r="C26" s="10" t="inlineStr">
        <is>
          <t>USD</t>
        </is>
      </c>
      <c r="D26" s="16" t="inlineStr"/>
    </row>
    <row r="27">
      <c r="A27" s="9" t="inlineStr">
        <is>
          <t>BAF / Fuel Surcharge</t>
        </is>
      </c>
      <c r="B27" s="35">
        <f>IF(生成器 Generator!D35="","",生成器 Generator!D35)</f>
        <v/>
      </c>
      <c r="C27" s="10" t="inlineStr">
        <is>
          <t>USD</t>
        </is>
      </c>
      <c r="D27" s="16" t="inlineStr"/>
    </row>
    <row r="28">
      <c r="A28" s="9" t="inlineStr">
        <is>
          <t>ISPS</t>
        </is>
      </c>
      <c r="B28" s="35">
        <f>IF(生成器 Generator!D36="","",生成器 Generator!D36)</f>
        <v/>
      </c>
      <c r="C28" s="10" t="inlineStr">
        <is>
          <t>USD</t>
        </is>
      </c>
      <c r="D28" s="16" t="inlineStr"/>
    </row>
    <row r="29">
      <c r="A29" s="9" t="inlineStr">
        <is>
          <t>Customs Clearance</t>
        </is>
      </c>
      <c r="B29" s="35">
        <f>IF(生成器 Generator!D37="","",生成器 Generator!D37)</f>
        <v/>
      </c>
      <c r="C29" s="10" t="inlineStr">
        <is>
          <t>MYR</t>
        </is>
      </c>
      <c r="D29" s="16" t="inlineStr">
        <is>
          <t>MY</t>
        </is>
      </c>
    </row>
    <row r="30">
      <c r="A30" s="9" t="inlineStr">
        <is>
          <t>Local Freight / Transshipment</t>
        </is>
      </c>
      <c r="B30" s="35">
        <f>IF(生成器 Generator!D38="","",生成器 Generator!D38)</f>
        <v/>
      </c>
      <c r="C30" s="10" t="inlineStr">
        <is>
          <t>MYR</t>
        </is>
      </c>
      <c r="D30" s="16" t="inlineStr">
        <is>
          <t>MY</t>
        </is>
      </c>
    </row>
    <row r="31">
      <c r="A31" s="9" t="inlineStr">
        <is>
          <t>Customs (East MY)</t>
        </is>
      </c>
      <c r="B31" s="35">
        <f>IF(生成器 Generator!D39="","",生成器 Generator!D39)</f>
        <v/>
      </c>
      <c r="C31" s="10" t="inlineStr">
        <is>
          <t>MYR</t>
        </is>
      </c>
      <c r="D31" s="16" t="inlineStr">
        <is>
          <t>East MY</t>
        </is>
      </c>
    </row>
    <row r="32">
      <c r="A32" s="9" t="inlineStr">
        <is>
          <t>Trucking / Delivery</t>
        </is>
      </c>
      <c r="B32" s="35">
        <f>IF(生成器 Generator!D40="","",生成器 Generator!D40)</f>
        <v/>
      </c>
      <c r="C32" s="10" t="inlineStr">
        <is>
          <t>MYR</t>
        </is>
      </c>
      <c r="D32" s="16" t="inlineStr"/>
    </row>
    <row r="33">
      <c r="A33" s="9" t="inlineStr">
        <is>
          <t>Insurance</t>
        </is>
      </c>
      <c r="B33" s="35">
        <f>IF(生成器 Generator!D41="","",生成器 Generator!D41)</f>
        <v/>
      </c>
      <c r="C33" s="10" t="inlineStr">
        <is>
          <t>USD</t>
        </is>
      </c>
      <c r="D33" s="16" t="inlineStr">
        <is>
          <t>Optional</t>
        </is>
      </c>
    </row>
    <row r="34">
      <c r="A34" s="9" t="inlineStr">
        <is>
          <t>Others</t>
        </is>
      </c>
      <c r="B34" s="35">
        <f>IF(生成器 Generator!D42="","",生成器 Generator!D42)</f>
        <v/>
      </c>
      <c r="C34" s="10" t="inlineStr"/>
      <c r="D34" s="16" t="inlineStr"/>
    </row>
    <row r="36">
      <c r="A36" s="36" t="inlineStr">
        <is>
          <t>TOTAL (USD)</t>
        </is>
      </c>
      <c r="B36" s="21">
        <f>生成器 Generator!C51</f>
        <v/>
      </c>
      <c r="C36" s="37" t="inlineStr">
        <is>
          <t>USD</t>
        </is>
      </c>
    </row>
    <row r="38">
      <c r="A38" s="33" t="inlineStr">
        <is>
          <t>TERMS &amp; CONDITIONS</t>
        </is>
      </c>
    </row>
    <row r="39">
      <c r="A39" s="30" t="inlineStr">
        <is>
          <t>1. Quotation valid for 7 days from the date of issue</t>
        </is>
      </c>
    </row>
    <row r="40">
      <c r="A40" s="30" t="inlineStr">
        <is>
          <t>2. Rates subject to change without prior notice</t>
        </is>
      </c>
    </row>
    <row r="41">
      <c r="A41" s="30" t="inlineStr">
        <is>
          <t>3. Customs inspection fees, storage charges not included</t>
        </is>
      </c>
    </row>
    <row r="42">
      <c r="A42" s="30" t="inlineStr">
        <is>
          <t>4. Insurance is optional but strongly recommended</t>
        </is>
      </c>
    </row>
    <row r="43">
      <c r="A43" s="30" t="inlineStr">
        <is>
          <t>5. Payment terms: Prepaid / Collect (to be confirmed)</t>
        </is>
      </c>
    </row>
    <row r="44">
      <c r="A44" s="30" t="inlineStr">
        <is>
          <t>6. Transit time is estimated and not guaranteed</t>
        </is>
      </c>
    </row>
    <row r="47">
      <c r="A47" s="38" t="inlineStr">
        <is>
          <t>For any inquiries, please don't hesitate to contact us!</t>
        </is>
      </c>
    </row>
    <row r="48">
      <c r="A48" s="39">
        <f>CONCATENATE(生成器 Generator!B8,"  |  ",生成器 Generator!B10,"  |  ",生成器 Generator!B11)</f>
        <v/>
      </c>
    </row>
  </sheetData>
  <mergeCells count="6">
    <mergeCell ref="A4:E4"/>
    <mergeCell ref="A48:E48"/>
    <mergeCell ref="A2:E2"/>
    <mergeCell ref="A47:E47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2026-04-05T13:23:17Z</dcterms:created>
  <dcterms:modified xsi:type="dcterms:W3CDTF">2026-04-05T13:23:17Z</dcterms:modified>
</cp:coreProperties>
</file>